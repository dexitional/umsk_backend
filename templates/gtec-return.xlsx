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private/tmp/claude-501/-Users-dexitional-Documents-projects-FullStack-coreos-frontend-ecentre/e8527fdd-b534-4ddd-b14d-1f0d70fee5e9/scratchpad/"/>
    </mc:Choice>
  </mc:AlternateContent>
  <xr:revisionPtr revIDLastSave="0" documentId="8_{0F7D773B-0890-B04A-BFF2-F972BD6A42F3}" xr6:coauthVersionLast="47" xr6:coauthVersionMax="47" xr10:uidLastSave="{00000000-0000-0000-0000-000000000000}"/>
  <bookViews>
    <workbookView xWindow="4420" yWindow="800" windowWidth="31580" windowHeight="22580" xr2:uid="{ED4413B9-13C5-8A4E-ADD6-ADC4B6305B00}"/>
  </bookViews>
  <sheets>
    <sheet name="STUDENT DATA" sheetId="1" r:id="rId1"/>
    <sheet name="STAFF DATA" sheetId="2" r:id="rId2"/>
    <sheet name="GRADUATE OUTPUT" sheetId="3" r:id="rId3"/>
  </sheets>
  <definedNames>
    <definedName name="_xlnm.Print_Area" localSheetId="2">'GRADUATE OUTPUT'!$B$35:$K$54</definedName>
    <definedName name="_xlnm.Print_Area" localSheetId="1">'STAFF DATA'!$C$137:$AG$175</definedName>
    <definedName name="_xlnm.Print_Area" localSheetId="0">'STUDENT DATA'!$C$62:$L$79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W28" i="2" l="1"/>
  <c r="BX42" i="2"/>
  <c r="BS43" i="2"/>
  <c r="BT43" i="2"/>
  <c r="BU43" i="2"/>
  <c r="BV43" i="2"/>
  <c r="BW43" i="2"/>
  <c r="BR43" i="2"/>
  <c r="BS40" i="2"/>
  <c r="BT40" i="2"/>
  <c r="BX40" i="2" s="1"/>
  <c r="BU40" i="2"/>
  <c r="BV40" i="2"/>
  <c r="BW40" i="2"/>
  <c r="BR40" i="2"/>
  <c r="BS37" i="2"/>
  <c r="BX37" i="2" s="1"/>
  <c r="BT37" i="2"/>
  <c r="BU37" i="2"/>
  <c r="BV37" i="2"/>
  <c r="BW37" i="2"/>
  <c r="BR37" i="2"/>
  <c r="BS34" i="2"/>
  <c r="BX34" i="2" s="1"/>
  <c r="BT34" i="2"/>
  <c r="BU34" i="2"/>
  <c r="BV34" i="2"/>
  <c r="BW34" i="2"/>
  <c r="BR34" i="2"/>
  <c r="BS31" i="2"/>
  <c r="BT31" i="2"/>
  <c r="BU31" i="2"/>
  <c r="BV31" i="2"/>
  <c r="BW31" i="2"/>
  <c r="BR31" i="2"/>
  <c r="BX31" i="2" s="1"/>
  <c r="BS28" i="2"/>
  <c r="BT28" i="2"/>
  <c r="BU28" i="2"/>
  <c r="BV28" i="2"/>
  <c r="BR28" i="2"/>
  <c r="BX28" i="2" s="1"/>
  <c r="BS25" i="2"/>
  <c r="BT25" i="2"/>
  <c r="BU25" i="2"/>
  <c r="BV25" i="2"/>
  <c r="BW25" i="2"/>
  <c r="BR25" i="2"/>
  <c r="BX25" i="2" s="1"/>
  <c r="BR22" i="2"/>
  <c r="BS19" i="2"/>
  <c r="BX19" i="2" s="1"/>
  <c r="BT19" i="2"/>
  <c r="BU19" i="2"/>
  <c r="BV19" i="2"/>
  <c r="BW19" i="2"/>
  <c r="BR19" i="2"/>
  <c r="BX11" i="2"/>
  <c r="BS16" i="2"/>
  <c r="BT16" i="2"/>
  <c r="BU16" i="2"/>
  <c r="BV16" i="2"/>
  <c r="BW16" i="2"/>
  <c r="BR16" i="2"/>
  <c r="BS13" i="2"/>
  <c r="BT13" i="2"/>
  <c r="BU13" i="2"/>
  <c r="BV13" i="2"/>
  <c r="BW13" i="2"/>
  <c r="BR13" i="2"/>
  <c r="BX12" i="2"/>
  <c r="BX8" i="2"/>
  <c r="BX9" i="2"/>
  <c r="BS10" i="2"/>
  <c r="BT10" i="2"/>
  <c r="BT46" i="2" s="1"/>
  <c r="BU10" i="2"/>
  <c r="BV10" i="2"/>
  <c r="BW10" i="2"/>
  <c r="BR10" i="2"/>
  <c r="BX10" i="2" s="1"/>
  <c r="BX46" i="2" s="1"/>
  <c r="AH22" i="1"/>
  <c r="AH21" i="1"/>
  <c r="AH23" i="1"/>
  <c r="AH19" i="1"/>
  <c r="AH20" i="1"/>
  <c r="AH18" i="1"/>
  <c r="AH16" i="1"/>
  <c r="AH15" i="1"/>
  <c r="AH17" i="1"/>
  <c r="AH13" i="1"/>
  <c r="AH12" i="1"/>
  <c r="AH10" i="1"/>
  <c r="AH9" i="1"/>
  <c r="AM26" i="1"/>
  <c r="AL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26" i="1" s="1"/>
  <c r="AN10" i="1"/>
  <c r="AN9" i="1"/>
  <c r="CH46" i="2"/>
  <c r="CG46" i="2"/>
  <c r="CF46" i="2"/>
  <c r="CE46" i="2"/>
  <c r="CD46" i="2"/>
  <c r="CC46" i="2"/>
  <c r="BS46" i="2"/>
  <c r="BR46" i="2"/>
  <c r="CH45" i="2"/>
  <c r="CG45" i="2"/>
  <c r="CF45" i="2"/>
  <c r="CE45" i="2"/>
  <c r="CD45" i="2"/>
  <c r="CC45" i="2"/>
  <c r="BW45" i="2"/>
  <c r="BV45" i="2"/>
  <c r="BU45" i="2"/>
  <c r="BT45" i="2"/>
  <c r="BS45" i="2"/>
  <c r="BR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CH44" i="2"/>
  <c r="CG44" i="2"/>
  <c r="CF44" i="2"/>
  <c r="CE44" i="2"/>
  <c r="CD44" i="2"/>
  <c r="CC44" i="2"/>
  <c r="BW44" i="2"/>
  <c r="BV44" i="2"/>
  <c r="BU44" i="2"/>
  <c r="BT44" i="2"/>
  <c r="BS44" i="2"/>
  <c r="BR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J45" i="2"/>
  <c r="AI45" i="2"/>
  <c r="AH45" i="2"/>
  <c r="AG45" i="2"/>
  <c r="AF45" i="2"/>
  <c r="CI43" i="2"/>
  <c r="BL43" i="2"/>
  <c r="BK43" i="2"/>
  <c r="BJ43" i="2"/>
  <c r="BI43" i="2"/>
  <c r="BH43" i="2"/>
  <c r="BG43" i="2"/>
  <c r="BF43" i="2"/>
  <c r="BE43" i="2"/>
  <c r="BE46" i="2" s="1"/>
  <c r="BD43" i="2"/>
  <c r="BC43" i="2"/>
  <c r="BB43" i="2"/>
  <c r="BA43" i="2"/>
  <c r="AZ43" i="2"/>
  <c r="AY43" i="2"/>
  <c r="AX43" i="2"/>
  <c r="AW43" i="2"/>
  <c r="AV43" i="2"/>
  <c r="AU43" i="2"/>
  <c r="AT43" i="2"/>
  <c r="AS43" i="2"/>
  <c r="BM43" i="2" s="1"/>
  <c r="AR43" i="2"/>
  <c r="AQ43" i="2"/>
  <c r="AP43" i="2"/>
  <c r="AJ44" i="2"/>
  <c r="AI44" i="2"/>
  <c r="AH44" i="2"/>
  <c r="AG44" i="2"/>
  <c r="AF44" i="2"/>
  <c r="CI42" i="2"/>
  <c r="BM42" i="2"/>
  <c r="AJ43" i="2"/>
  <c r="AI43" i="2"/>
  <c r="AH43" i="2"/>
  <c r="AG43" i="2"/>
  <c r="AF43" i="2"/>
  <c r="AK43" i="2" s="1"/>
  <c r="CI41" i="2"/>
  <c r="BX41" i="2"/>
  <c r="BM41" i="2"/>
  <c r="AK42" i="2"/>
  <c r="CI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BM40" i="2" s="1"/>
  <c r="AW40" i="2"/>
  <c r="AV40" i="2"/>
  <c r="AU40" i="2"/>
  <c r="AT40" i="2"/>
  <c r="AS40" i="2"/>
  <c r="AR40" i="2"/>
  <c r="AQ40" i="2"/>
  <c r="AP40" i="2"/>
  <c r="AK41" i="2"/>
  <c r="CI39" i="2"/>
  <c r="BX39" i="2"/>
  <c r="BM39" i="2"/>
  <c r="AJ40" i="2"/>
  <c r="AI40" i="2"/>
  <c r="AH40" i="2"/>
  <c r="AG40" i="2"/>
  <c r="AF40" i="2"/>
  <c r="CI38" i="2"/>
  <c r="BX38" i="2"/>
  <c r="BM38" i="2"/>
  <c r="AK39" i="2"/>
  <c r="CI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BM37" i="2" s="1"/>
  <c r="AX37" i="2"/>
  <c r="AW37" i="2"/>
  <c r="AV37" i="2"/>
  <c r="AU37" i="2"/>
  <c r="AT37" i="2"/>
  <c r="AS37" i="2"/>
  <c r="AR37" i="2"/>
  <c r="AQ37" i="2"/>
  <c r="AP37" i="2"/>
  <c r="AK38" i="2"/>
  <c r="CI36" i="2"/>
  <c r="BX36" i="2"/>
  <c r="BM36" i="2"/>
  <c r="AJ37" i="2"/>
  <c r="AI37" i="2"/>
  <c r="AH37" i="2"/>
  <c r="AG37" i="2"/>
  <c r="AF37" i="2"/>
  <c r="CI35" i="2"/>
  <c r="BX35" i="2"/>
  <c r="BM35" i="2"/>
  <c r="AK36" i="2"/>
  <c r="CI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BM34" i="2" s="1"/>
  <c r="AY34" i="2"/>
  <c r="AX34" i="2"/>
  <c r="AW34" i="2"/>
  <c r="AV34" i="2"/>
  <c r="AU34" i="2"/>
  <c r="AT34" i="2"/>
  <c r="AS34" i="2"/>
  <c r="AR34" i="2"/>
  <c r="AQ34" i="2"/>
  <c r="AP34" i="2"/>
  <c r="AK35" i="2"/>
  <c r="CI33" i="2"/>
  <c r="BX33" i="2"/>
  <c r="BM33" i="2"/>
  <c r="AJ34" i="2"/>
  <c r="AI34" i="2"/>
  <c r="AH34" i="2"/>
  <c r="AG34" i="2"/>
  <c r="AF34" i="2"/>
  <c r="CI32" i="2"/>
  <c r="BX32" i="2"/>
  <c r="BM32" i="2"/>
  <c r="AK33" i="2"/>
  <c r="CI31" i="2"/>
  <c r="CI46" i="2" s="1"/>
  <c r="BL31" i="2"/>
  <c r="BK31" i="2"/>
  <c r="BJ31" i="2"/>
  <c r="BI31" i="2"/>
  <c r="BH31" i="2"/>
  <c r="BG31" i="2"/>
  <c r="BF31" i="2"/>
  <c r="BE31" i="2"/>
  <c r="BD31" i="2"/>
  <c r="BC31" i="2"/>
  <c r="BB31" i="2"/>
  <c r="BA31" i="2"/>
  <c r="BA46" i="2" s="1"/>
  <c r="AZ31" i="2"/>
  <c r="AY31" i="2"/>
  <c r="AX31" i="2"/>
  <c r="AW31" i="2"/>
  <c r="AV31" i="2"/>
  <c r="AU31" i="2"/>
  <c r="AT31" i="2"/>
  <c r="AS31" i="2"/>
  <c r="AR31" i="2"/>
  <c r="AQ31" i="2"/>
  <c r="AP31" i="2"/>
  <c r="AK32" i="2"/>
  <c r="CI30" i="2"/>
  <c r="BX30" i="2"/>
  <c r="BM30" i="2"/>
  <c r="AJ31" i="2"/>
  <c r="AI31" i="2"/>
  <c r="AH31" i="2"/>
  <c r="AG31" i="2"/>
  <c r="AF31" i="2"/>
  <c r="AK31" i="2"/>
  <c r="CI29" i="2"/>
  <c r="BX29" i="2"/>
  <c r="BM29" i="2"/>
  <c r="BM44" i="2" s="1"/>
  <c r="AK30" i="2"/>
  <c r="CI28" i="2"/>
  <c r="BL28" i="2"/>
  <c r="BK28" i="2"/>
  <c r="BJ28" i="2"/>
  <c r="BI28" i="2"/>
  <c r="BH28" i="2"/>
  <c r="BG28" i="2"/>
  <c r="BF28" i="2"/>
  <c r="BE28" i="2"/>
  <c r="BD28" i="2"/>
  <c r="BC28" i="2"/>
  <c r="BC46" i="2" s="1"/>
  <c r="BB28" i="2"/>
  <c r="BA28" i="2"/>
  <c r="AZ28" i="2"/>
  <c r="AY28" i="2"/>
  <c r="AX28" i="2"/>
  <c r="AW28" i="2"/>
  <c r="AV28" i="2"/>
  <c r="AU28" i="2"/>
  <c r="AT28" i="2"/>
  <c r="AS28" i="2"/>
  <c r="AR28" i="2"/>
  <c r="AQ28" i="2"/>
  <c r="AQ46" i="2" s="1"/>
  <c r="AP28" i="2"/>
  <c r="AK29" i="2"/>
  <c r="CI27" i="2"/>
  <c r="BX27" i="2"/>
  <c r="BM27" i="2"/>
  <c r="AJ28" i="2"/>
  <c r="AI28" i="2"/>
  <c r="AH28" i="2"/>
  <c r="AG28" i="2"/>
  <c r="AF28" i="2"/>
  <c r="CI26" i="2"/>
  <c r="BX26" i="2"/>
  <c r="BX44" i="2" s="1"/>
  <c r="BM26" i="2"/>
  <c r="AK27" i="2"/>
  <c r="CI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R46" i="2" s="1"/>
  <c r="AQ25" i="2"/>
  <c r="AP25" i="2"/>
  <c r="BM25" i="2" s="1"/>
  <c r="AK26" i="2"/>
  <c r="CI24" i="2"/>
  <c r="BX24" i="2"/>
  <c r="BM24" i="2"/>
  <c r="AJ25" i="2"/>
  <c r="AI25" i="2"/>
  <c r="AH25" i="2"/>
  <c r="AG25" i="2"/>
  <c r="AF25" i="2"/>
  <c r="AK25" i="2" s="1"/>
  <c r="CI23" i="2"/>
  <c r="BX23" i="2"/>
  <c r="BM23" i="2"/>
  <c r="AK24" i="2"/>
  <c r="CI22" i="2"/>
  <c r="BX22" i="2"/>
  <c r="BL22" i="2"/>
  <c r="BK22" i="2"/>
  <c r="BJ22" i="2"/>
  <c r="BI22" i="2"/>
  <c r="BH22" i="2"/>
  <c r="BG22" i="2"/>
  <c r="BG46" i="2" s="1"/>
  <c r="BF22" i="2"/>
  <c r="BE22" i="2"/>
  <c r="BD22" i="2"/>
  <c r="BC22" i="2"/>
  <c r="BB22" i="2"/>
  <c r="BA22" i="2"/>
  <c r="AZ22" i="2"/>
  <c r="AY22" i="2"/>
  <c r="AX22" i="2"/>
  <c r="AW22" i="2"/>
  <c r="AV22" i="2"/>
  <c r="AU22" i="2"/>
  <c r="BM22" i="2" s="1"/>
  <c r="AT22" i="2"/>
  <c r="AS22" i="2"/>
  <c r="AR22" i="2"/>
  <c r="AQ22" i="2"/>
  <c r="AP22" i="2"/>
  <c r="AK23" i="2"/>
  <c r="CI21" i="2"/>
  <c r="BX21" i="2"/>
  <c r="BM21" i="2"/>
  <c r="AJ22" i="2"/>
  <c r="AI22" i="2"/>
  <c r="AH22" i="2"/>
  <c r="AK22" i="2" s="1"/>
  <c r="AG22" i="2"/>
  <c r="AF22" i="2"/>
  <c r="CI20" i="2"/>
  <c r="BX20" i="2"/>
  <c r="BM20" i="2"/>
  <c r="AK21" i="2"/>
  <c r="CI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V46" i="2" s="1"/>
  <c r="AU19" i="2"/>
  <c r="AT19" i="2"/>
  <c r="AS19" i="2"/>
  <c r="AR19" i="2"/>
  <c r="AQ19" i="2"/>
  <c r="AP19" i="2"/>
  <c r="AK20" i="2"/>
  <c r="CI18" i="2"/>
  <c r="BX18" i="2"/>
  <c r="BM18" i="2"/>
  <c r="AJ19" i="2"/>
  <c r="AI19" i="2"/>
  <c r="AH19" i="2"/>
  <c r="AG19" i="2"/>
  <c r="AF19" i="2"/>
  <c r="AK19" i="2" s="1"/>
  <c r="CI17" i="2"/>
  <c r="BX17" i="2"/>
  <c r="BM17" i="2"/>
  <c r="AK18" i="2"/>
  <c r="CI16" i="2"/>
  <c r="BL16" i="2"/>
  <c r="BK16" i="2"/>
  <c r="BJ16" i="2"/>
  <c r="BJ46" i="2" s="1"/>
  <c r="BI16" i="2"/>
  <c r="BH16" i="2"/>
  <c r="BG16" i="2"/>
  <c r="BF16" i="2"/>
  <c r="BE16" i="2"/>
  <c r="BD16" i="2"/>
  <c r="BC16" i="2"/>
  <c r="BB16" i="2"/>
  <c r="BA16" i="2"/>
  <c r="AZ16" i="2"/>
  <c r="AY16" i="2"/>
  <c r="AX16" i="2"/>
  <c r="BM16" i="2" s="1"/>
  <c r="AW16" i="2"/>
  <c r="AV16" i="2"/>
  <c r="AU16" i="2"/>
  <c r="AT16" i="2"/>
  <c r="AS16" i="2"/>
  <c r="AR16" i="2"/>
  <c r="AQ16" i="2"/>
  <c r="AP16" i="2"/>
  <c r="AK17" i="2"/>
  <c r="CI15" i="2"/>
  <c r="BX15" i="2"/>
  <c r="BM15" i="2"/>
  <c r="AJ16" i="2"/>
  <c r="AI16" i="2"/>
  <c r="AH16" i="2"/>
  <c r="AG16" i="2"/>
  <c r="AF16" i="2"/>
  <c r="CI14" i="2"/>
  <c r="BX14" i="2"/>
  <c r="BM14" i="2"/>
  <c r="AK15" i="2"/>
  <c r="CI13" i="2"/>
  <c r="BL13" i="2"/>
  <c r="BL46" i="2" s="1"/>
  <c r="BK13" i="2"/>
  <c r="BJ13" i="2"/>
  <c r="BI13" i="2"/>
  <c r="BH13" i="2"/>
  <c r="BG13" i="2"/>
  <c r="BF13" i="2"/>
  <c r="BE13" i="2"/>
  <c r="BD13" i="2"/>
  <c r="BC13" i="2"/>
  <c r="BB13" i="2"/>
  <c r="BA13" i="2"/>
  <c r="AZ13" i="2"/>
  <c r="AZ46" i="2" s="1"/>
  <c r="AY13" i="2"/>
  <c r="AX13" i="2"/>
  <c r="AW13" i="2"/>
  <c r="AV13" i="2"/>
  <c r="AU13" i="2"/>
  <c r="AT13" i="2"/>
  <c r="AS13" i="2"/>
  <c r="AR13" i="2"/>
  <c r="AQ13" i="2"/>
  <c r="AP13" i="2"/>
  <c r="AK14" i="2"/>
  <c r="CI12" i="2"/>
  <c r="CI45" i="2" s="1"/>
  <c r="BM12" i="2"/>
  <c r="AJ13" i="2"/>
  <c r="AI13" i="2"/>
  <c r="AI46" i="2" s="1"/>
  <c r="AH13" i="2"/>
  <c r="AG13" i="2"/>
  <c r="AF13" i="2"/>
  <c r="CI11" i="2"/>
  <c r="BM11" i="2"/>
  <c r="AK12" i="2"/>
  <c r="CI10" i="2"/>
  <c r="BL10" i="2"/>
  <c r="BK10" i="2"/>
  <c r="BK46" i="2" s="1"/>
  <c r="BJ10" i="2"/>
  <c r="BI10" i="2"/>
  <c r="BH10" i="2"/>
  <c r="BG10" i="2"/>
  <c r="BF10" i="2"/>
  <c r="BE10" i="2"/>
  <c r="BD10" i="2"/>
  <c r="BC10" i="2"/>
  <c r="BB10" i="2"/>
  <c r="BA10" i="2"/>
  <c r="AZ10" i="2"/>
  <c r="AY10" i="2"/>
  <c r="AY46" i="2" s="1"/>
  <c r="AX10" i="2"/>
  <c r="AW10" i="2"/>
  <c r="AV10" i="2"/>
  <c r="AU10" i="2"/>
  <c r="AT10" i="2"/>
  <c r="AS10" i="2"/>
  <c r="AR10" i="2"/>
  <c r="AQ10" i="2"/>
  <c r="AP10" i="2"/>
  <c r="AK11" i="2"/>
  <c r="CI9" i="2"/>
  <c r="BM9" i="2"/>
  <c r="BM45" i="2" s="1"/>
  <c r="AJ10" i="2"/>
  <c r="AI10" i="2"/>
  <c r="AH10" i="2"/>
  <c r="AG10" i="2"/>
  <c r="AF10" i="2"/>
  <c r="CI8" i="2"/>
  <c r="BM8" i="2"/>
  <c r="AK9" i="2"/>
  <c r="AK8" i="2"/>
  <c r="AK44" i="2" s="1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AA43" i="2" s="1"/>
  <c r="I43" i="2"/>
  <c r="H43" i="2"/>
  <c r="G43" i="2"/>
  <c r="F43" i="2"/>
  <c r="E43" i="2"/>
  <c r="D43" i="2"/>
  <c r="AA42" i="2"/>
  <c r="AA41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AA40" i="2" s="1"/>
  <c r="J40" i="2"/>
  <c r="I40" i="2"/>
  <c r="H40" i="2"/>
  <c r="G40" i="2"/>
  <c r="F40" i="2"/>
  <c r="E40" i="2"/>
  <c r="D40" i="2"/>
  <c r="AA39" i="2"/>
  <c r="AA38" i="2"/>
  <c r="Z37" i="2"/>
  <c r="Y37" i="2"/>
  <c r="X37" i="2"/>
  <c r="X46" i="2" s="1"/>
  <c r="W37" i="2"/>
  <c r="V37" i="2"/>
  <c r="U37" i="2"/>
  <c r="T37" i="2"/>
  <c r="S37" i="2"/>
  <c r="R37" i="2"/>
  <c r="Q37" i="2"/>
  <c r="P37" i="2"/>
  <c r="O37" i="2"/>
  <c r="N37" i="2"/>
  <c r="M37" i="2"/>
  <c r="L37" i="2"/>
  <c r="AA37" i="2" s="1"/>
  <c r="K37" i="2"/>
  <c r="J37" i="2"/>
  <c r="I37" i="2"/>
  <c r="H37" i="2"/>
  <c r="G37" i="2"/>
  <c r="F37" i="2"/>
  <c r="E37" i="2"/>
  <c r="D37" i="2"/>
  <c r="AA36" i="2"/>
  <c r="AA35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M46" i="2" s="1"/>
  <c r="L34" i="2"/>
  <c r="K34" i="2"/>
  <c r="J34" i="2"/>
  <c r="I34" i="2"/>
  <c r="H34" i="2"/>
  <c r="G34" i="2"/>
  <c r="F34" i="2"/>
  <c r="E34" i="2"/>
  <c r="D34" i="2"/>
  <c r="AA33" i="2"/>
  <c r="AA32" i="2"/>
  <c r="Z31" i="2"/>
  <c r="Z46" i="2" s="1"/>
  <c r="Y31" i="2"/>
  <c r="X31" i="2"/>
  <c r="W31" i="2"/>
  <c r="V31" i="2"/>
  <c r="U31" i="2"/>
  <c r="T31" i="2"/>
  <c r="S31" i="2"/>
  <c r="R31" i="2"/>
  <c r="Q31" i="2"/>
  <c r="P31" i="2"/>
  <c r="O31" i="2"/>
  <c r="N31" i="2"/>
  <c r="AA31" i="2" s="1"/>
  <c r="M31" i="2"/>
  <c r="L31" i="2"/>
  <c r="K31" i="2"/>
  <c r="J31" i="2"/>
  <c r="I31" i="2"/>
  <c r="H31" i="2"/>
  <c r="G31" i="2"/>
  <c r="F31" i="2"/>
  <c r="E31" i="2"/>
  <c r="D31" i="2"/>
  <c r="AA30" i="2"/>
  <c r="AA29" i="2"/>
  <c r="AA44" i="2" s="1"/>
  <c r="Z28" i="2"/>
  <c r="Y28" i="2"/>
  <c r="X28" i="2"/>
  <c r="W28" i="2"/>
  <c r="V28" i="2"/>
  <c r="U28" i="2"/>
  <c r="T28" i="2"/>
  <c r="S28" i="2"/>
  <c r="R28" i="2"/>
  <c r="Q28" i="2"/>
  <c r="P28" i="2"/>
  <c r="O28" i="2"/>
  <c r="O46" i="2" s="1"/>
  <c r="N28" i="2"/>
  <c r="M28" i="2"/>
  <c r="L28" i="2"/>
  <c r="K28" i="2"/>
  <c r="J28" i="2"/>
  <c r="I28" i="2"/>
  <c r="H28" i="2"/>
  <c r="G28" i="2"/>
  <c r="F28" i="2"/>
  <c r="E28" i="2"/>
  <c r="E46" i="2" s="1"/>
  <c r="D28" i="2"/>
  <c r="AA27" i="2"/>
  <c r="AA45" i="2" s="1"/>
  <c r="AA26" i="2"/>
  <c r="Z25" i="2"/>
  <c r="Y25" i="2"/>
  <c r="X25" i="2"/>
  <c r="W25" i="2"/>
  <c r="V25" i="2"/>
  <c r="U25" i="2"/>
  <c r="T25" i="2"/>
  <c r="S25" i="2"/>
  <c r="R25" i="2"/>
  <c r="Q25" i="2"/>
  <c r="P25" i="2"/>
  <c r="P46" i="2" s="1"/>
  <c r="O25" i="2"/>
  <c r="N25" i="2"/>
  <c r="M25" i="2"/>
  <c r="L25" i="2"/>
  <c r="K25" i="2"/>
  <c r="J25" i="2"/>
  <c r="I25" i="2"/>
  <c r="H25" i="2"/>
  <c r="G25" i="2"/>
  <c r="F25" i="2"/>
  <c r="E25" i="2"/>
  <c r="D25" i="2"/>
  <c r="D46" i="2" s="1"/>
  <c r="AA24" i="2"/>
  <c r="AA23" i="2"/>
  <c r="Z22" i="2"/>
  <c r="Y22" i="2"/>
  <c r="X22" i="2"/>
  <c r="W22" i="2"/>
  <c r="V22" i="2"/>
  <c r="U22" i="2"/>
  <c r="T22" i="2"/>
  <c r="S22" i="2"/>
  <c r="R22" i="2"/>
  <c r="R46" i="2" s="1"/>
  <c r="Q22" i="2"/>
  <c r="P22" i="2"/>
  <c r="O22" i="2"/>
  <c r="N22" i="2"/>
  <c r="M22" i="2"/>
  <c r="L22" i="2"/>
  <c r="K22" i="2"/>
  <c r="J22" i="2"/>
  <c r="I22" i="2"/>
  <c r="H22" i="2"/>
  <c r="G22" i="2"/>
  <c r="F22" i="2"/>
  <c r="F46" i="2" s="1"/>
  <c r="E22" i="2"/>
  <c r="D22" i="2"/>
  <c r="AA21" i="2"/>
  <c r="AA20" i="2"/>
  <c r="Z19" i="2"/>
  <c r="Y19" i="2"/>
  <c r="X19" i="2"/>
  <c r="W19" i="2"/>
  <c r="V19" i="2"/>
  <c r="U19" i="2"/>
  <c r="T19" i="2"/>
  <c r="S19" i="2"/>
  <c r="S46" i="2" s="1"/>
  <c r="R19" i="2"/>
  <c r="Q19" i="2"/>
  <c r="P19" i="2"/>
  <c r="O19" i="2"/>
  <c r="N19" i="2"/>
  <c r="M19" i="2"/>
  <c r="L19" i="2"/>
  <c r="K19" i="2"/>
  <c r="J19" i="2"/>
  <c r="I19" i="2"/>
  <c r="H19" i="2"/>
  <c r="G19" i="2"/>
  <c r="G46" i="2" s="1"/>
  <c r="F19" i="2"/>
  <c r="E19" i="2"/>
  <c r="D19" i="2"/>
  <c r="AA18" i="2"/>
  <c r="AA17" i="2"/>
  <c r="Z16" i="2"/>
  <c r="Y16" i="2"/>
  <c r="X16" i="2"/>
  <c r="W16" i="2"/>
  <c r="V16" i="2"/>
  <c r="U16" i="2"/>
  <c r="T16" i="2"/>
  <c r="T46" i="2" s="1"/>
  <c r="S16" i="2"/>
  <c r="R16" i="2"/>
  <c r="Q16" i="2"/>
  <c r="P16" i="2"/>
  <c r="O16" i="2"/>
  <c r="N16" i="2"/>
  <c r="M16" i="2"/>
  <c r="L16" i="2"/>
  <c r="K16" i="2"/>
  <c r="J16" i="2"/>
  <c r="I16" i="2"/>
  <c r="H16" i="2"/>
  <c r="H46" i="2" s="1"/>
  <c r="G16" i="2"/>
  <c r="F16" i="2"/>
  <c r="E16" i="2"/>
  <c r="D16" i="2"/>
  <c r="AA15" i="2"/>
  <c r="AA14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J46" i="2" s="1"/>
  <c r="I13" i="2"/>
  <c r="H13" i="2"/>
  <c r="G13" i="2"/>
  <c r="F13" i="2"/>
  <c r="E13" i="2"/>
  <c r="D13" i="2"/>
  <c r="AA12" i="2"/>
  <c r="AA11" i="2"/>
  <c r="Z10" i="2"/>
  <c r="Y10" i="2"/>
  <c r="Y46" i="2" s="1"/>
  <c r="X10" i="2"/>
  <c r="W10" i="2"/>
  <c r="W46" i="2" s="1"/>
  <c r="V10" i="2"/>
  <c r="V46" i="2" s="1"/>
  <c r="U10" i="2"/>
  <c r="T10" i="2"/>
  <c r="S10" i="2"/>
  <c r="R10" i="2"/>
  <c r="Q10" i="2"/>
  <c r="P10" i="2"/>
  <c r="O10" i="2"/>
  <c r="N10" i="2"/>
  <c r="M10" i="2"/>
  <c r="L10" i="2"/>
  <c r="K10" i="2"/>
  <c r="AA10" i="2" s="1"/>
  <c r="J10" i="2"/>
  <c r="I10" i="2"/>
  <c r="H10" i="2"/>
  <c r="G10" i="2"/>
  <c r="F10" i="2"/>
  <c r="E10" i="2"/>
  <c r="D10" i="2"/>
  <c r="AA9" i="2"/>
  <c r="AA8" i="2"/>
  <c r="BN24" i="1"/>
  <c r="BO24" i="1"/>
  <c r="BP24" i="1"/>
  <c r="BN25" i="1"/>
  <c r="BO25" i="1"/>
  <c r="BP25" i="1"/>
  <c r="BM25" i="1"/>
  <c r="BM24" i="1"/>
  <c r="BD24" i="1"/>
  <c r="BE24" i="1"/>
  <c r="BF24" i="1"/>
  <c r="BD25" i="1"/>
  <c r="BE25" i="1"/>
  <c r="BF25" i="1"/>
  <c r="BC25" i="1"/>
  <c r="BC24" i="1"/>
  <c r="AV24" i="1"/>
  <c r="AT24" i="1"/>
  <c r="AU24" i="1"/>
  <c r="AT25" i="1"/>
  <c r="AU25" i="1"/>
  <c r="AV25" i="1"/>
  <c r="AS25" i="1"/>
  <c r="AS24" i="1"/>
  <c r="AC24" i="1"/>
  <c r="AD24" i="1"/>
  <c r="AE24" i="1"/>
  <c r="AF24" i="1"/>
  <c r="AG24" i="1"/>
  <c r="AC25" i="1"/>
  <c r="AD25" i="1"/>
  <c r="AE25" i="1"/>
  <c r="AH25" i="1" s="1"/>
  <c r="AF25" i="1"/>
  <c r="AG25" i="1"/>
  <c r="W25" i="1"/>
  <c r="W24" i="1"/>
  <c r="Q25" i="1"/>
  <c r="Q24" i="1"/>
  <c r="E25" i="1"/>
  <c r="E24" i="1"/>
  <c r="F19" i="1"/>
  <c r="F18" i="1"/>
  <c r="E20" i="1"/>
  <c r="F20" i="1" s="1"/>
  <c r="K25" i="1"/>
  <c r="K24" i="1"/>
  <c r="E27" i="3"/>
  <c r="E26" i="3"/>
  <c r="L26" i="3" s="1"/>
  <c r="E25" i="3"/>
  <c r="E28" i="3" s="1"/>
  <c r="E22" i="3"/>
  <c r="E19" i="3"/>
  <c r="L19" i="3" s="1"/>
  <c r="E16" i="3"/>
  <c r="E13" i="3"/>
  <c r="G27" i="3"/>
  <c r="D27" i="3"/>
  <c r="L27" i="3" s="1"/>
  <c r="F27" i="3"/>
  <c r="H27" i="3"/>
  <c r="I27" i="3"/>
  <c r="J27" i="3"/>
  <c r="K27" i="3"/>
  <c r="F26" i="3"/>
  <c r="G26" i="3"/>
  <c r="H26" i="3"/>
  <c r="I26" i="3"/>
  <c r="J26" i="3"/>
  <c r="K26" i="3"/>
  <c r="D26" i="3"/>
  <c r="L14" i="3"/>
  <c r="L24" i="3"/>
  <c r="L23" i="3"/>
  <c r="L21" i="3"/>
  <c r="L20" i="3"/>
  <c r="L18" i="3"/>
  <c r="L17" i="3"/>
  <c r="L15" i="3"/>
  <c r="K25" i="3"/>
  <c r="J25" i="3"/>
  <c r="I25" i="3"/>
  <c r="H25" i="3"/>
  <c r="G25" i="3"/>
  <c r="F25" i="3"/>
  <c r="D25" i="3"/>
  <c r="L25" i="3" s="1"/>
  <c r="K22" i="3"/>
  <c r="J22" i="3"/>
  <c r="I22" i="3"/>
  <c r="H22" i="3"/>
  <c r="G22" i="3"/>
  <c r="F22" i="3"/>
  <c r="D22" i="3"/>
  <c r="L22" i="3" s="1"/>
  <c r="K19" i="3"/>
  <c r="J19" i="3"/>
  <c r="I19" i="3"/>
  <c r="H19" i="3"/>
  <c r="G19" i="3"/>
  <c r="F19" i="3"/>
  <c r="D19" i="3"/>
  <c r="K16" i="3"/>
  <c r="J16" i="3"/>
  <c r="I16" i="3"/>
  <c r="H16" i="3"/>
  <c r="G16" i="3"/>
  <c r="F16" i="3"/>
  <c r="D16" i="3"/>
  <c r="L16" i="3" s="1"/>
  <c r="G13" i="3"/>
  <c r="G28" i="3" s="1"/>
  <c r="F13" i="3"/>
  <c r="F28" i="3"/>
  <c r="D13" i="3"/>
  <c r="L12" i="3"/>
  <c r="L11" i="3"/>
  <c r="BP23" i="1"/>
  <c r="BO23" i="1"/>
  <c r="BO26" i="1" s="1"/>
  <c r="BN23" i="1"/>
  <c r="BN26" i="1" s="1"/>
  <c r="BM23" i="1"/>
  <c r="BM26" i="1" s="1"/>
  <c r="BQ22" i="1"/>
  <c r="BQ21" i="1"/>
  <c r="BQ23" i="1"/>
  <c r="BP20" i="1"/>
  <c r="BO20" i="1"/>
  <c r="BN20" i="1"/>
  <c r="BM20" i="1"/>
  <c r="BQ19" i="1"/>
  <c r="BQ25" i="1" s="1"/>
  <c r="BQ18" i="1"/>
  <c r="BQ20" i="1"/>
  <c r="BP17" i="1"/>
  <c r="BP26" i="1" s="1"/>
  <c r="BO17" i="1"/>
  <c r="BN17" i="1"/>
  <c r="BM17" i="1"/>
  <c r="BQ16" i="1"/>
  <c r="BQ15" i="1"/>
  <c r="BP14" i="1"/>
  <c r="BO14" i="1"/>
  <c r="BN14" i="1"/>
  <c r="BM14" i="1"/>
  <c r="BQ13" i="1"/>
  <c r="BQ14" i="1" s="1"/>
  <c r="BQ12" i="1"/>
  <c r="BQ24" i="1" s="1"/>
  <c r="BP11" i="1"/>
  <c r="BO11" i="1"/>
  <c r="BQ11" i="1" s="1"/>
  <c r="BN11" i="1"/>
  <c r="BM11" i="1"/>
  <c r="BQ10" i="1"/>
  <c r="BQ9" i="1"/>
  <c r="BF23" i="1"/>
  <c r="BF26" i="1" s="1"/>
  <c r="BE23" i="1"/>
  <c r="BE26" i="1" s="1"/>
  <c r="BD23" i="1"/>
  <c r="BD26" i="1" s="1"/>
  <c r="BC23" i="1"/>
  <c r="BC26" i="1" s="1"/>
  <c r="BG22" i="1"/>
  <c r="BG21" i="1"/>
  <c r="BG24" i="1"/>
  <c r="BF20" i="1"/>
  <c r="BE20" i="1"/>
  <c r="BD20" i="1"/>
  <c r="BC20" i="1"/>
  <c r="BG19" i="1"/>
  <c r="BG18" i="1"/>
  <c r="BG20" i="1" s="1"/>
  <c r="BF17" i="1"/>
  <c r="BE17" i="1"/>
  <c r="BD17" i="1"/>
  <c r="BC17" i="1"/>
  <c r="BG16" i="1"/>
  <c r="BG25" i="1" s="1"/>
  <c r="BG15" i="1"/>
  <c r="BF14" i="1"/>
  <c r="BE14" i="1"/>
  <c r="BD14" i="1"/>
  <c r="BC14" i="1"/>
  <c r="BG13" i="1"/>
  <c r="BG14" i="1" s="1"/>
  <c r="BG12" i="1"/>
  <c r="BF11" i="1"/>
  <c r="BE11" i="1"/>
  <c r="BD11" i="1"/>
  <c r="BC11" i="1"/>
  <c r="BG11" i="1" s="1"/>
  <c r="BG10" i="1"/>
  <c r="BG9" i="1"/>
  <c r="AV23" i="1"/>
  <c r="AV20" i="1"/>
  <c r="AV17" i="1"/>
  <c r="AV14" i="1"/>
  <c r="AV11" i="1"/>
  <c r="AG23" i="1"/>
  <c r="AG20" i="1"/>
  <c r="AG17" i="1"/>
  <c r="AG14" i="1"/>
  <c r="AG11" i="1"/>
  <c r="AG26" i="1" s="1"/>
  <c r="AF23" i="1"/>
  <c r="AE23" i="1"/>
  <c r="AD23" i="1"/>
  <c r="AC23" i="1"/>
  <c r="AF20" i="1"/>
  <c r="AF26" i="1" s="1"/>
  <c r="AE20" i="1"/>
  <c r="AD20" i="1"/>
  <c r="AC20" i="1"/>
  <c r="AF17" i="1"/>
  <c r="AE17" i="1"/>
  <c r="AD17" i="1"/>
  <c r="AC17" i="1"/>
  <c r="AF14" i="1"/>
  <c r="AE14" i="1"/>
  <c r="AE26" i="1"/>
  <c r="AD14" i="1"/>
  <c r="AC14" i="1"/>
  <c r="AF11" i="1"/>
  <c r="AE11" i="1"/>
  <c r="AD11" i="1"/>
  <c r="AC11" i="1"/>
  <c r="AW22" i="1"/>
  <c r="AW21" i="1"/>
  <c r="AW19" i="1"/>
  <c r="AW18" i="1"/>
  <c r="AT17" i="1"/>
  <c r="AU17" i="1"/>
  <c r="AT20" i="1"/>
  <c r="AT26" i="1"/>
  <c r="AU20" i="1"/>
  <c r="AU26" i="1" s="1"/>
  <c r="AT23" i="1"/>
  <c r="AU23" i="1"/>
  <c r="AS17" i="1"/>
  <c r="AT14" i="1"/>
  <c r="AU14" i="1"/>
  <c r="AS14" i="1"/>
  <c r="AW10" i="1"/>
  <c r="AW25" i="1" s="1"/>
  <c r="AW12" i="1"/>
  <c r="AW13" i="1"/>
  <c r="AW14" i="1"/>
  <c r="AW15" i="1"/>
  <c r="AW16" i="1"/>
  <c r="AW9" i="1"/>
  <c r="AT11" i="1"/>
  <c r="AU11" i="1"/>
  <c r="AW11" i="1"/>
  <c r="AS11" i="1"/>
  <c r="AS23" i="1"/>
  <c r="AS26" i="1" s="1"/>
  <c r="AS20" i="1"/>
  <c r="W23" i="1"/>
  <c r="X23" i="1"/>
  <c r="X22" i="1"/>
  <c r="X21" i="1"/>
  <c r="W20" i="1"/>
  <c r="X20" i="1"/>
  <c r="X19" i="1"/>
  <c r="X18" i="1"/>
  <c r="W17" i="1"/>
  <c r="X17" i="1" s="1"/>
  <c r="X26" i="1" s="1"/>
  <c r="X16" i="1"/>
  <c r="X25" i="1" s="1"/>
  <c r="X15" i="1"/>
  <c r="W14" i="1"/>
  <c r="X14" i="1"/>
  <c r="X13" i="1"/>
  <c r="X12" i="1"/>
  <c r="W11" i="1"/>
  <c r="W26" i="1" s="1"/>
  <c r="X10" i="1"/>
  <c r="X9" i="1"/>
  <c r="X24" i="1" s="1"/>
  <c r="Q23" i="1"/>
  <c r="R23" i="1" s="1"/>
  <c r="R22" i="1"/>
  <c r="R21" i="1"/>
  <c r="Q20" i="1"/>
  <c r="R20" i="1" s="1"/>
  <c r="R19" i="1"/>
  <c r="R18" i="1"/>
  <c r="Q17" i="1"/>
  <c r="R17" i="1" s="1"/>
  <c r="R16" i="1"/>
  <c r="R15" i="1"/>
  <c r="R24" i="1" s="1"/>
  <c r="Q14" i="1"/>
  <c r="R14" i="1" s="1"/>
  <c r="R13" i="1"/>
  <c r="R25" i="1" s="1"/>
  <c r="R12" i="1"/>
  <c r="Q11" i="1"/>
  <c r="Q26" i="1" s="1"/>
  <c r="R11" i="1"/>
  <c r="R10" i="1"/>
  <c r="R9" i="1"/>
  <c r="K23" i="1"/>
  <c r="L23" i="1"/>
  <c r="L22" i="1"/>
  <c r="L21" i="1"/>
  <c r="K20" i="1"/>
  <c r="L20" i="1"/>
  <c r="L19" i="1"/>
  <c r="L18" i="1"/>
  <c r="K17" i="1"/>
  <c r="L17" i="1" s="1"/>
  <c r="K14" i="1"/>
  <c r="L14" i="1" s="1"/>
  <c r="K11" i="1"/>
  <c r="K26" i="1" s="1"/>
  <c r="L10" i="1"/>
  <c r="L9" i="1"/>
  <c r="L24" i="1" s="1"/>
  <c r="E23" i="1"/>
  <c r="F23" i="1" s="1"/>
  <c r="E17" i="1"/>
  <c r="F17" i="1"/>
  <c r="F22" i="1"/>
  <c r="F21" i="1"/>
  <c r="F9" i="1"/>
  <c r="F24" i="1" s="1"/>
  <c r="K13" i="3"/>
  <c r="K28" i="3"/>
  <c r="J13" i="3"/>
  <c r="J28" i="3" s="1"/>
  <c r="I13" i="3"/>
  <c r="I28" i="3"/>
  <c r="H13" i="3"/>
  <c r="H28" i="3" s="1"/>
  <c r="F10" i="1"/>
  <c r="F25" i="1" s="1"/>
  <c r="E14" i="1"/>
  <c r="F14" i="1" s="1"/>
  <c r="E11" i="1"/>
  <c r="F11" i="1" s="1"/>
  <c r="F26" i="1" s="1"/>
  <c r="L13" i="3"/>
  <c r="I46" i="2"/>
  <c r="AX46" i="2"/>
  <c r="AA34" i="2"/>
  <c r="AT46" i="2"/>
  <c r="BB46" i="2"/>
  <c r="AK40" i="2"/>
  <c r="BF46" i="2"/>
  <c r="AW46" i="2"/>
  <c r="AP46" i="2"/>
  <c r="BD46" i="2"/>
  <c r="AK37" i="2"/>
  <c r="AK28" i="2"/>
  <c r="AA13" i="2"/>
  <c r="BI46" i="2"/>
  <c r="N46" i="2"/>
  <c r="AK34" i="2"/>
  <c r="U46" i="2"/>
  <c r="BH46" i="2"/>
  <c r="CI44" i="2"/>
  <c r="AK10" i="2"/>
  <c r="AK46" i="2" s="1"/>
  <c r="AW17" i="1"/>
  <c r="AW26" i="1" s="1"/>
  <c r="AW20" i="1"/>
  <c r="BG23" i="1"/>
  <c r="X11" i="1"/>
  <c r="BQ17" i="1"/>
  <c r="L25" i="1"/>
  <c r="AW24" i="1"/>
  <c r="AV26" i="1"/>
  <c r="AH11" i="1"/>
  <c r="AW23" i="1"/>
  <c r="AH14" i="1"/>
  <c r="AD26" i="1"/>
  <c r="AH24" i="1"/>
  <c r="AH26" i="1" s="1"/>
  <c r="AC26" i="1"/>
  <c r="Q46" i="2"/>
  <c r="BX43" i="2"/>
  <c r="BV46" i="2"/>
  <c r="BW46" i="2"/>
  <c r="BX16" i="2"/>
  <c r="BX13" i="2"/>
  <c r="BX45" i="2"/>
  <c r="BU46" i="2"/>
  <c r="AG46" i="2"/>
  <c r="AK13" i="2"/>
  <c r="AK16" i="2"/>
  <c r="AK45" i="2"/>
  <c r="AF46" i="2"/>
  <c r="AJ46" i="2"/>
  <c r="BG26" i="1" l="1"/>
  <c r="BQ26" i="1"/>
  <c r="R26" i="1"/>
  <c r="L46" i="2"/>
  <c r="AH46" i="2"/>
  <c r="AA22" i="2"/>
  <c r="AA16" i="2"/>
  <c r="AA46" i="2" s="1"/>
  <c r="BM10" i="2"/>
  <c r="BM19" i="2"/>
  <c r="BM28" i="2"/>
  <c r="AA28" i="2"/>
  <c r="AA25" i="2"/>
  <c r="BM13" i="2"/>
  <c r="D28" i="3"/>
  <c r="L28" i="3" s="1"/>
  <c r="AA19" i="2"/>
  <c r="AS46" i="2"/>
  <c r="BG17" i="1"/>
  <c r="AU46" i="2"/>
  <c r="BM31" i="2"/>
  <c r="K46" i="2"/>
  <c r="E26" i="1"/>
  <c r="L11" i="1"/>
  <c r="L26" i="1" s="1"/>
  <c r="BM46" i="2" l="1"/>
</calcChain>
</file>

<file path=xl/sharedStrings.xml><?xml version="1.0" encoding="utf-8"?>
<sst xmlns="http://schemas.openxmlformats.org/spreadsheetml/2006/main" count="646" uniqueCount="123">
  <si>
    <t xml:space="preserve">NAME OF INSTITUTION: </t>
  </si>
  <si>
    <t>GENDER</t>
  </si>
  <si>
    <t>TOTAL</t>
  </si>
  <si>
    <t>M</t>
  </si>
  <si>
    <t>F</t>
  </si>
  <si>
    <t>T</t>
  </si>
  <si>
    <t xml:space="preserve">GRAND </t>
  </si>
  <si>
    <t>NAME OF INSTITUTION :</t>
  </si>
  <si>
    <t>PASS</t>
  </si>
  <si>
    <t xml:space="preserve">NAME OF INSTITUTION : </t>
  </si>
  <si>
    <t>DEPARTMENT</t>
  </si>
  <si>
    <t xml:space="preserve">NAME OF INSTITUTION :  </t>
  </si>
  <si>
    <t>PHD</t>
  </si>
  <si>
    <t>JUNIOR STAFF</t>
  </si>
  <si>
    <t xml:space="preserve">              TECHNICAL</t>
  </si>
  <si>
    <t xml:space="preserve">NOTE: </t>
  </si>
  <si>
    <t xml:space="preserve">b) SENIOR MEMBER NON-TEHNICAL: THESE ARE STAFF WHO PERFORM GENERAL SENIOR ADMINISTRATIVE DUTIES </t>
  </si>
  <si>
    <t>a) SENIOR TECHNICAL STAFF: THESE ARE STAFF WHO PERFORM SPECIALISED/ PROFESSIONAL FUNCTIONS, THEY INCLUDE SENIOR TECHNICIANS, ACCOUNTANTS, AND OTHER PROFESSIONAL STAFF</t>
  </si>
  <si>
    <t xml:space="preserve">b) SENIOR NON-TECHNICAL STAFF: THESE ARE STAFF WHO PERFORM GENERAL ADMINISTRATIVE DUTIES </t>
  </si>
  <si>
    <t xml:space="preserve">3. JUNIOR STAFF: THESE ARE STAFF WITH QUALIFICATIONS BELOW FIRST DEGREE </t>
  </si>
  <si>
    <t>a) JUNIOR TECHNICAL STAFF: THESE ARE STAFF WHO PERFORM TECHNICAL/PROFESSIONAL FUNCTIONS AND THEY INCLUDE TYPISTS, DRIVERS, WORKSHOP ASSISTANTS, COOKS etc.</t>
  </si>
  <si>
    <t>b) JUNIOR NON-TECHNICAL STAFF: THESE ARE MOSTLY LABOUREERS, CLEANERS, MESSENGERS, SECURITY PERSONNEL etc.</t>
  </si>
  <si>
    <t>NAME OF INSTITUTION:</t>
  </si>
  <si>
    <t>TUTOR</t>
  </si>
  <si>
    <t>PROGRAMME</t>
  </si>
  <si>
    <t>DEGREE</t>
  </si>
  <si>
    <t xml:space="preserve">DEPARTMENT </t>
  </si>
  <si>
    <t>GRAND TOTAL</t>
  </si>
  <si>
    <t>NON TECHNICAL</t>
  </si>
  <si>
    <t>TECHNICAL</t>
  </si>
  <si>
    <t>NON- TECHNICAL</t>
  </si>
  <si>
    <t>NON - TECHNICAL</t>
  </si>
  <si>
    <t>EXT.</t>
  </si>
  <si>
    <t>Yr. 1</t>
  </si>
  <si>
    <t>Yr. 2</t>
  </si>
  <si>
    <t>4-YR BACHELOR DEGREE</t>
  </si>
  <si>
    <t>Yr. 3</t>
  </si>
  <si>
    <t>Yr. 4</t>
  </si>
  <si>
    <t>DIPLOMA</t>
  </si>
  <si>
    <t>WITHIN STD. DURATION</t>
  </si>
  <si>
    <t>BACHELOR DEGREE</t>
  </si>
  <si>
    <t>DISTINCT.</t>
  </si>
  <si>
    <t>CREDIT</t>
  </si>
  <si>
    <t>1ST CLASS</t>
  </si>
  <si>
    <t>2ND CLASS UPPER</t>
  </si>
  <si>
    <t>2ND CLASS LOWER</t>
  </si>
  <si>
    <t>3RD CLASS</t>
  </si>
  <si>
    <t>MSc./ M.A / M.Ed.</t>
  </si>
  <si>
    <t>DIPLOMA (Cmpetency based)</t>
  </si>
  <si>
    <t>TABLE 3 : APPLICATIONS FOR ADMISSION BY GENDER AND FACULTY, 2025/2026</t>
  </si>
  <si>
    <t>TABLE 4 : APPLICATIONS QUALIFIED FOR ADMISSION BY GENDER AND FACULTY, 2025/2026</t>
  </si>
  <si>
    <t>TABLE 5 : ADMISSION OFFERED BY GENDER AND FACULTY, 2025/2026</t>
  </si>
  <si>
    <t>TABLE 6 : NEW ENTRANTS BY GENDER AND FACULTY, 2025/2026</t>
  </si>
  <si>
    <t>TABLE 7 : STUDENT'S ENROLMENT ( TOTAL STUDENT POPULATION ) BY GENDER AND FACULTY, 2025/2026</t>
  </si>
  <si>
    <t>TABLE 9: STUDENT ENROLMENT WITH MOBILITY IMPAIRMENT AND LOSS OF LIMBS BY GENDER AND PROGRAMME FOR THE YEAR 2025/2026</t>
  </si>
  <si>
    <r>
      <rPr>
        <b/>
        <sz val="11"/>
        <rFont val="Calibri"/>
        <family val="2"/>
      </rPr>
      <t xml:space="preserve">1. </t>
    </r>
    <r>
      <rPr>
        <b/>
        <sz val="11"/>
        <color indexed="60"/>
        <rFont val="Calibri"/>
        <family val="2"/>
      </rPr>
      <t>EXT</t>
    </r>
    <r>
      <rPr>
        <b/>
        <sz val="11"/>
        <color indexed="8"/>
        <rFont val="Calibri"/>
        <family val="2"/>
      </rPr>
      <t xml:space="preserve">. (Referring to </t>
    </r>
    <r>
      <rPr>
        <b/>
        <u/>
        <sz val="11"/>
        <color indexed="8"/>
        <rFont val="Calibri"/>
        <family val="2"/>
      </rPr>
      <t>EXTENTION</t>
    </r>
    <r>
      <rPr>
        <b/>
        <sz val="11"/>
        <color indexed="8"/>
        <rFont val="Calibri"/>
        <family val="2"/>
      </rPr>
      <t xml:space="preserve"> or </t>
    </r>
    <r>
      <rPr>
        <b/>
        <u/>
        <sz val="11"/>
        <color indexed="8"/>
        <rFont val="Calibri"/>
        <family val="2"/>
      </rPr>
      <t>GRACE PERIOD</t>
    </r>
    <r>
      <rPr>
        <b/>
        <sz val="11"/>
        <color indexed="8"/>
        <rFont val="Calibri"/>
        <family val="2"/>
      </rPr>
      <t>): In this column, enter the number of students who have exceeded the standard duration for completing the programme.
Example: If five students have exceeded the standard three-year duration for a Diploma  programme, record this number under the "</t>
    </r>
    <r>
      <rPr>
        <b/>
        <sz val="11"/>
        <color indexed="60"/>
        <rFont val="Calibri"/>
        <family val="2"/>
      </rPr>
      <t>EXT</t>
    </r>
    <r>
      <rPr>
        <b/>
        <sz val="11"/>
        <color indexed="8"/>
        <rFont val="Calibri"/>
        <family val="2"/>
      </rPr>
      <t>" column. DO NOT include it in the final-year (Yr. 3) student count, or enter it in Year 4, or omit it entirely.</t>
    </r>
  </si>
  <si>
    <r>
      <rPr>
        <b/>
        <sz val="10"/>
        <rFont val="Arial"/>
        <family val="2"/>
      </rPr>
      <t xml:space="preserve">2. </t>
    </r>
    <r>
      <rPr>
        <b/>
        <sz val="10"/>
        <color indexed="60"/>
        <rFont val="Arial"/>
        <family val="2"/>
      </rPr>
      <t>EXT</t>
    </r>
    <r>
      <rPr>
        <b/>
        <sz val="10"/>
        <color indexed="8"/>
        <rFont val="Arial"/>
        <family val="2"/>
      </rPr>
      <t xml:space="preserve">. (Referring to </t>
    </r>
    <r>
      <rPr>
        <b/>
        <u/>
        <sz val="10"/>
        <color indexed="8"/>
        <rFont val="Arial"/>
        <family val="2"/>
      </rPr>
      <t>EXTENTION</t>
    </r>
    <r>
      <rPr>
        <b/>
        <sz val="10"/>
        <color indexed="8"/>
        <rFont val="Arial"/>
        <family val="2"/>
      </rPr>
      <t xml:space="preserve"> or </t>
    </r>
    <r>
      <rPr>
        <b/>
        <u/>
        <sz val="10"/>
        <color indexed="8"/>
        <rFont val="Arial"/>
        <family val="2"/>
      </rPr>
      <t>GRACE PERIOD</t>
    </r>
    <r>
      <rPr>
        <b/>
        <sz val="10"/>
        <color indexed="8"/>
        <rFont val="Arial"/>
        <family val="2"/>
      </rPr>
      <t>): In this column, enter the number of students who have exceeded the standard duration for completing the programme.
Example: If five students have exceeded the standard three-year duration for a Diploma  programme, record this number under the "</t>
    </r>
    <r>
      <rPr>
        <b/>
        <sz val="10"/>
        <color indexed="60"/>
        <rFont val="Arial"/>
        <family val="2"/>
      </rPr>
      <t>EXT</t>
    </r>
    <r>
      <rPr>
        <b/>
        <sz val="10"/>
        <color indexed="8"/>
        <rFont val="Arial"/>
        <family val="2"/>
      </rPr>
      <t>" column. DO NOT include it in the COUNT of students who are within the standard duration of completion (i.e. WITHIN STD. DURATION) or omit it entirely.</t>
    </r>
  </si>
  <si>
    <r>
      <rPr>
        <b/>
        <sz val="11"/>
        <rFont val="Calibri"/>
        <family val="2"/>
      </rPr>
      <t xml:space="preserve">2. </t>
    </r>
    <r>
      <rPr>
        <b/>
        <sz val="11"/>
        <color indexed="60"/>
        <rFont val="Calibri"/>
        <family val="2"/>
      </rPr>
      <t>EXT</t>
    </r>
    <r>
      <rPr>
        <b/>
        <sz val="11"/>
        <color indexed="8"/>
        <rFont val="Calibri"/>
        <family val="2"/>
      </rPr>
      <t xml:space="preserve">. (Referring to </t>
    </r>
    <r>
      <rPr>
        <b/>
        <u/>
        <sz val="11"/>
        <color indexed="8"/>
        <rFont val="Calibri"/>
        <family val="2"/>
      </rPr>
      <t>EXTENTION</t>
    </r>
    <r>
      <rPr>
        <b/>
        <sz val="11"/>
        <color indexed="8"/>
        <rFont val="Calibri"/>
        <family val="2"/>
      </rPr>
      <t xml:space="preserve"> or </t>
    </r>
    <r>
      <rPr>
        <b/>
        <u/>
        <sz val="11"/>
        <color indexed="8"/>
        <rFont val="Calibri"/>
        <family val="2"/>
      </rPr>
      <t>GRACE PERIOD</t>
    </r>
    <r>
      <rPr>
        <b/>
        <sz val="11"/>
        <color indexed="8"/>
        <rFont val="Calibri"/>
        <family val="2"/>
      </rPr>
      <t>): In this column, enter the number of students who have exceeded the standard duration for completing the programme.
Example: If five students have exceeded the standard three-year duration for a Diploma  programme, record this number under the "</t>
    </r>
    <r>
      <rPr>
        <b/>
        <sz val="11"/>
        <color indexed="60"/>
        <rFont val="Calibri"/>
        <family val="2"/>
      </rPr>
      <t>EXT</t>
    </r>
    <r>
      <rPr>
        <b/>
        <sz val="11"/>
        <color indexed="8"/>
        <rFont val="Calibri"/>
        <family val="2"/>
      </rPr>
      <t>" column. DO NOT include it in the COUNT of students who are within the standard duration of completion (i.e. WITHIN STD. DURATION) or omit it entirely.</t>
    </r>
  </si>
  <si>
    <r>
      <t>NOTE:</t>
    </r>
    <r>
      <rPr>
        <b/>
        <sz val="11"/>
        <color indexed="10"/>
        <rFont val="Arial"/>
        <family val="2"/>
      </rPr>
      <t xml:space="preserve"> </t>
    </r>
    <r>
      <rPr>
        <b/>
        <u/>
        <sz val="11"/>
        <color indexed="10"/>
        <rFont val="Arial"/>
        <family val="2"/>
      </rPr>
      <t>OTHERS</t>
    </r>
    <r>
      <rPr>
        <b/>
        <sz val="11"/>
        <color indexed="10"/>
        <rFont val="Arial"/>
        <family val="2"/>
      </rPr>
      <t xml:space="preserve"> </t>
    </r>
    <r>
      <rPr>
        <b/>
        <sz val="11"/>
        <color indexed="8"/>
        <rFont val="Arial"/>
        <family val="2"/>
      </rPr>
      <t>REFERS TO PROFESSIONAL QUALIFICATIONS</t>
    </r>
  </si>
  <si>
    <t>PROFESSOR</t>
  </si>
  <si>
    <t>ASSOCIATE PROFESSOR</t>
  </si>
  <si>
    <t>SENIOR LECTURER</t>
  </si>
  <si>
    <t>LECTURER</t>
  </si>
  <si>
    <t>ASSISTANT LECTURER</t>
  </si>
  <si>
    <t>M.Phil</t>
  </si>
  <si>
    <t>Others</t>
  </si>
  <si>
    <t>MSc./M.A/M.Ed.</t>
  </si>
  <si>
    <t>Below 30 yrs</t>
  </si>
  <si>
    <t>30 yrs- 40 yrs</t>
  </si>
  <si>
    <t>41 yrs - 50 yrs</t>
  </si>
  <si>
    <t>51yrs - 60 yrs</t>
  </si>
  <si>
    <t>Above 60 yrs</t>
  </si>
  <si>
    <t>SENIOR MEMBER</t>
  </si>
  <si>
    <t>SENIOR STAFF</t>
  </si>
  <si>
    <t>MSc./ M. A/ M.Ed.</t>
  </si>
  <si>
    <t xml:space="preserve"> </t>
  </si>
  <si>
    <t>NOTE: OTHERS REFERS TO PROFESSIONAL QUALIFICATIONS</t>
  </si>
  <si>
    <t>1. SENIOR MEMBERS:  THESE ARE STAFF WITH SECOND DEGREES AND ABOVE OR THEIR PROFESSIONAL EQUIVALENT</t>
  </si>
  <si>
    <t>a) SENIOR MEMBER TECHNICAL: THESE ARE STAFF WHO PERFORM SPECIALISED / PROFESSIONAL FUNCTIONS, THEY INCLUDE ACCOUNTANTS, DOCTORS, ICT MANAGERS, ENGINEERS, PLANNERS etc.</t>
  </si>
  <si>
    <t>2. SENIOR STAFF: THESE ARE STAFF WITH FIRST DEGREES AND ABOVE OR THEIR PROFESSIONAL EQUIVALENT</t>
  </si>
  <si>
    <t>MSc./M.A/ M.Ed.</t>
  </si>
  <si>
    <t>TABLE 8: ENROLMENT OF FOREIGN STUDENTS BY NATIONALITY, 2025/2026</t>
  </si>
  <si>
    <r>
      <t xml:space="preserve">COUNTRY OF ORIGIN [Indicate name of Country. E.g. Nigeria. Not </t>
    </r>
    <r>
      <rPr>
        <b/>
        <i/>
        <sz val="9"/>
        <rFont val="Arial"/>
        <family val="2"/>
      </rPr>
      <t>Nigerian</t>
    </r>
    <r>
      <rPr>
        <b/>
        <sz val="9"/>
        <rFont val="Arial"/>
        <family val="2"/>
      </rPr>
      <t xml:space="preserve"> (which referes to the people]</t>
    </r>
  </si>
  <si>
    <t>MALE</t>
  </si>
  <si>
    <t>FEMALE</t>
  </si>
  <si>
    <t>TABLES 9 , 10 AND 11 FOCUSES ON PERSONS WITH DISABILITIES - MAINLY THOSE WITH (i) MOBILITY IMPAIRMENT OR LOSS OF LIMBS, (ii) VISION IMPAIRMENT, AND (iii) DEAF OR HARD OF HEARING,  RESPECTIVELY. PLEASE COMPLETE THE TABLES ACCORDINGLY</t>
  </si>
  <si>
    <r>
      <rPr>
        <b/>
        <sz val="11"/>
        <rFont val="Arial"/>
        <family val="2"/>
      </rPr>
      <t xml:space="preserve">NB: 1. </t>
    </r>
    <r>
      <rPr>
        <b/>
        <sz val="11"/>
        <color indexed="60"/>
        <rFont val="Arial"/>
        <family val="2"/>
      </rPr>
      <t xml:space="preserve"> TABLE 9 IS FOR STUDENTS WITH MOBILITY IMPAIRMENT OR LOSS OF LIMBS  </t>
    </r>
    <r>
      <rPr>
        <b/>
        <u/>
        <sz val="11"/>
        <color indexed="60"/>
        <rFont val="Arial"/>
        <family val="2"/>
      </rPr>
      <t>ONLY</t>
    </r>
  </si>
  <si>
    <t>TABLE 10: STUDENT ENROLMENT WITH VISION IMPAIRMENT   BY GENDER AND PROGRAMME FOR THE YEAR 2025/2026</t>
  </si>
  <si>
    <r>
      <rPr>
        <b/>
        <sz val="11"/>
        <rFont val="Calibri"/>
        <family val="2"/>
      </rPr>
      <t xml:space="preserve">NB: 1. </t>
    </r>
    <r>
      <rPr>
        <b/>
        <sz val="11"/>
        <color indexed="60"/>
        <rFont val="Calibri"/>
        <family val="2"/>
      </rPr>
      <t xml:space="preserve"> TABLE 10 IS FOR VISION IMPAIRED STUDENTS </t>
    </r>
    <r>
      <rPr>
        <b/>
        <u/>
        <sz val="11"/>
        <color indexed="60"/>
        <rFont val="Calibri"/>
        <family val="2"/>
      </rPr>
      <t>ONLY</t>
    </r>
  </si>
  <si>
    <t>TABLE 11: STUDENT ENROLMENT WITH DEAF OR HARD OF HEARING IMPAIRMENT   BY GENDER AND PROGRAMME FOR THE YEAR 2025/2026</t>
  </si>
  <si>
    <r>
      <rPr>
        <b/>
        <sz val="11"/>
        <rFont val="Calibri"/>
        <family val="2"/>
      </rPr>
      <t>NB: 1.</t>
    </r>
    <r>
      <rPr>
        <b/>
        <sz val="11"/>
        <color indexed="60"/>
        <rFont val="Calibri"/>
        <family val="2"/>
      </rPr>
      <t xml:space="preserve"> TABLE 11 IS FOR DEAF OR HARD OF HEARING OR DUALSENSORY (DeafDumb, DeafBlind) STUDENTS </t>
    </r>
    <r>
      <rPr>
        <b/>
        <u/>
        <sz val="11"/>
        <color indexed="60"/>
        <rFont val="Calibri"/>
        <family val="2"/>
      </rPr>
      <t>ONLY</t>
    </r>
  </si>
  <si>
    <t>TABLE 12: FULL-TIME (TEACHING) ACADEMIC STAFF BY GENDER AND DEPARTMENTS, 2025/2026</t>
  </si>
  <si>
    <t>TABLE 13: AGE DISTRIBUTION OF  FULL-TIME  (TEACHING) ACADEMIC STAFF BY GENDER  AND DEPARTMENTS, 2025/2026</t>
  </si>
  <si>
    <t>TABLE 14: PART-TIME (TEACHING) ACADEMIC STAFF BY GENDER AND DEPARTMENTS, 2025/2026</t>
  </si>
  <si>
    <r>
      <t>TABLE 15: NON-TEACHING STAFF BY GENDER, IN</t>
    </r>
    <r>
      <rPr>
        <b/>
        <sz val="11"/>
        <color indexed="30"/>
        <rFont val="Arial"/>
        <family val="2"/>
      </rPr>
      <t xml:space="preserve"> CENTRAL ADMINISTRATION</t>
    </r>
    <r>
      <rPr>
        <b/>
        <sz val="11"/>
        <rFont val="Arial"/>
        <family val="2"/>
      </rPr>
      <t xml:space="preserve"> </t>
    </r>
    <r>
      <rPr>
        <b/>
        <sz val="11"/>
        <color indexed="30"/>
        <rFont val="Arial"/>
        <family val="2"/>
      </rPr>
      <t>AND SUPPORT UNITS</t>
    </r>
    <r>
      <rPr>
        <b/>
        <sz val="11"/>
        <rFont val="Arial"/>
        <family val="2"/>
      </rPr>
      <t>, 2025/2026</t>
    </r>
  </si>
  <si>
    <t>TABLE 16: NON-TEACHING STAFF BY GENDER IN TEACHING DEPARTMENTS, 2025/2026</t>
  </si>
  <si>
    <t>ACADEMIC YEAR: 2024/2025 (Complete the table with data on students that completed in the 2024/2025 academic year and duly graduated)</t>
  </si>
  <si>
    <t>If there are students who completed in an earlier academic year but graduated with the 2024/2025 badge, kindly indicate this clearly by dissagregating them and labelling accordingly</t>
  </si>
  <si>
    <t>TABLE 17 : GRADUATING STUDENTS  BY GENDER AND PROGRAMME</t>
  </si>
  <si>
    <t>SCIENCES</t>
  </si>
  <si>
    <t>EDUCATION</t>
  </si>
  <si>
    <t>VOCATIONAL / TECHNICAL</t>
  </si>
  <si>
    <t>EARLY CHILD</t>
  </si>
  <si>
    <t>PRIMARY EDUCATION</t>
  </si>
  <si>
    <t xml:space="preserve">JUNIOR SECONDARY EDUCATION </t>
  </si>
  <si>
    <t xml:space="preserve">MATHEMATICS </t>
  </si>
  <si>
    <t xml:space="preserve"> AND COMPUTER STUDIES</t>
  </si>
  <si>
    <t>ARTS AND LIBERAL STUDIES</t>
  </si>
  <si>
    <t>LANGUAGES</t>
  </si>
  <si>
    <t>ADMINISTRATION</t>
  </si>
  <si>
    <t xml:space="preserve">FINANCE </t>
  </si>
  <si>
    <t>LIBRARY</t>
  </si>
  <si>
    <t>`</t>
  </si>
  <si>
    <t>INTERNAL AUDIT</t>
  </si>
  <si>
    <t>PROCUREMENT</t>
  </si>
  <si>
    <t>MAINTENANCE</t>
  </si>
  <si>
    <t>SECURITY</t>
  </si>
  <si>
    <t>TRANSPORT</t>
  </si>
  <si>
    <t>STORE</t>
  </si>
  <si>
    <t>SANITATION</t>
  </si>
  <si>
    <t>LAB TECHNICIAN</t>
  </si>
  <si>
    <t>KITCHEN</t>
  </si>
  <si>
    <t>FIRST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</si>
</sst>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60"/>
      <name val="Calibri"/>
      <family val="2"/>
    </font>
    <font>
      <b/>
      <u/>
      <sz val="11"/>
      <color indexed="8"/>
      <name val="Calibri"/>
      <family val="2"/>
    </font>
    <font>
      <b/>
      <u/>
      <sz val="11"/>
      <color indexed="60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30"/>
      <name val="Arial"/>
      <family val="2"/>
    </font>
    <font>
      <b/>
      <sz val="11"/>
      <color indexed="60"/>
      <name val="Arial"/>
      <family val="2"/>
    </font>
    <font>
      <b/>
      <u/>
      <sz val="11"/>
      <color indexed="60"/>
      <name val="Arial"/>
      <family val="2"/>
    </font>
    <font>
      <b/>
      <sz val="10"/>
      <color indexed="60"/>
      <name val="Arial"/>
      <family val="2"/>
    </font>
    <font>
      <b/>
      <u/>
      <sz val="10"/>
      <color indexed="8"/>
      <name val="Arial"/>
      <family val="2"/>
    </font>
    <font>
      <b/>
      <sz val="11"/>
      <color indexed="10"/>
      <name val="Arial"/>
      <family val="2"/>
    </font>
    <font>
      <b/>
      <u/>
      <sz val="11"/>
      <color indexed="10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i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Cambria"/>
      <family val="1"/>
      <scheme val="major"/>
    </font>
    <font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rgb="FFC00000"/>
      <name val="Arial"/>
      <family val="2"/>
    </font>
    <font>
      <b/>
      <sz val="10"/>
      <color theme="1"/>
      <name val="Arial"/>
      <family val="2"/>
    </font>
    <font>
      <b/>
      <sz val="11"/>
      <color rgb="FFC00000"/>
      <name val="Calibri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39">
    <xf numFmtId="0" fontId="0" fillId="0" borderId="0" xfId="0"/>
    <xf numFmtId="0" fontId="27" fillId="0" borderId="0" xfId="1" applyFont="1" applyProtection="1">
      <protection locked="0"/>
    </xf>
    <xf numFmtId="0" fontId="28" fillId="0" borderId="0" xfId="1" applyFont="1" applyProtection="1">
      <protection locked="0"/>
    </xf>
    <xf numFmtId="0" fontId="29" fillId="0" borderId="0" xfId="0" applyFont="1" applyProtection="1">
      <protection locked="0"/>
    </xf>
    <xf numFmtId="0" fontId="27" fillId="0" borderId="1" xfId="1" applyFont="1" applyBorder="1" applyAlignment="1" applyProtection="1">
      <alignment horizontal="center"/>
      <protection locked="0"/>
    </xf>
    <xf numFmtId="0" fontId="28" fillId="0" borderId="1" xfId="1" applyFont="1" applyBorder="1" applyProtection="1">
      <protection locked="0"/>
    </xf>
    <xf numFmtId="0" fontId="27" fillId="0" borderId="2" xfId="1" applyFont="1" applyBorder="1" applyAlignment="1" applyProtection="1">
      <alignment horizontal="center"/>
      <protection locked="0"/>
    </xf>
    <xf numFmtId="0" fontId="28" fillId="0" borderId="2" xfId="1" applyFont="1" applyBorder="1" applyProtection="1">
      <protection locked="0"/>
    </xf>
    <xf numFmtId="0" fontId="27" fillId="0" borderId="3" xfId="1" applyFont="1" applyBorder="1" applyAlignment="1" applyProtection="1">
      <alignment horizontal="center"/>
      <protection locked="0"/>
    </xf>
    <xf numFmtId="0" fontId="27" fillId="0" borderId="4" xfId="1" applyFont="1" applyBorder="1" applyAlignment="1" applyProtection="1">
      <alignment horizontal="center"/>
      <protection locked="0"/>
    </xf>
    <xf numFmtId="0" fontId="28" fillId="0" borderId="4" xfId="1" applyFont="1" applyBorder="1" applyProtection="1">
      <protection locked="0"/>
    </xf>
    <xf numFmtId="0" fontId="27" fillId="0" borderId="5" xfId="1" applyFont="1" applyBorder="1" applyAlignment="1" applyProtection="1">
      <alignment horizontal="center"/>
      <protection locked="0"/>
    </xf>
    <xf numFmtId="0" fontId="27" fillId="0" borderId="0" xfId="2" applyFont="1" applyProtection="1">
      <protection locked="0"/>
    </xf>
    <xf numFmtId="0" fontId="27" fillId="0" borderId="6" xfId="2" applyFont="1" applyBorder="1" applyAlignment="1" applyProtection="1">
      <alignment horizontal="center"/>
      <protection locked="0"/>
    </xf>
    <xf numFmtId="0" fontId="27" fillId="0" borderId="7" xfId="2" applyFont="1" applyBorder="1" applyAlignment="1" applyProtection="1">
      <alignment horizontal="center"/>
      <protection locked="0"/>
    </xf>
    <xf numFmtId="0" fontId="27" fillId="0" borderId="8" xfId="2" applyFont="1" applyBorder="1" applyAlignment="1" applyProtection="1">
      <alignment horizontal="center"/>
      <protection locked="0"/>
    </xf>
    <xf numFmtId="0" fontId="27" fillId="0" borderId="9" xfId="2" applyFont="1" applyBorder="1" applyAlignment="1" applyProtection="1">
      <alignment horizontal="center"/>
      <protection locked="0"/>
    </xf>
    <xf numFmtId="0" fontId="29" fillId="0" borderId="0" xfId="0" applyFont="1" applyBorder="1" applyProtection="1">
      <protection locked="0"/>
    </xf>
    <xf numFmtId="0" fontId="28" fillId="0" borderId="10" xfId="1" applyFont="1" applyBorder="1" applyAlignment="1" applyProtection="1">
      <alignment horizontal="right"/>
    </xf>
    <xf numFmtId="0" fontId="28" fillId="0" borderId="11" xfId="1" applyFont="1" applyBorder="1" applyAlignment="1" applyProtection="1">
      <alignment horizontal="right"/>
    </xf>
    <xf numFmtId="0" fontId="28" fillId="0" borderId="3" xfId="1" applyFont="1" applyBorder="1" applyProtection="1"/>
    <xf numFmtId="0" fontId="28" fillId="0" borderId="12" xfId="1" applyFont="1" applyBorder="1" applyAlignment="1" applyProtection="1">
      <alignment horizontal="right"/>
    </xf>
    <xf numFmtId="0" fontId="28" fillId="0" borderId="13" xfId="1" applyFont="1" applyBorder="1" applyAlignment="1" applyProtection="1">
      <alignment horizontal="right"/>
    </xf>
    <xf numFmtId="0" fontId="28" fillId="0" borderId="5" xfId="1" applyFont="1" applyBorder="1" applyProtection="1"/>
    <xf numFmtId="0" fontId="28" fillId="0" borderId="10" xfId="1" applyFont="1" applyBorder="1" applyProtection="1"/>
    <xf numFmtId="0" fontId="28" fillId="0" borderId="14" xfId="1" applyFont="1" applyBorder="1" applyProtection="1"/>
    <xf numFmtId="0" fontId="27" fillId="0" borderId="0" xfId="0" applyFont="1" applyProtection="1">
      <protection locked="0"/>
    </xf>
    <xf numFmtId="0" fontId="27" fillId="0" borderId="6" xfId="0" applyFont="1" applyBorder="1" applyAlignment="1" applyProtection="1">
      <alignment horizontal="center"/>
      <protection locked="0"/>
    </xf>
    <xf numFmtId="0" fontId="27" fillId="0" borderId="9" xfId="0" applyFont="1" applyBorder="1" applyAlignment="1" applyProtection="1">
      <alignment horizontal="center"/>
      <protection locked="0"/>
    </xf>
    <xf numFmtId="0" fontId="29" fillId="0" borderId="9" xfId="0" applyFont="1" applyBorder="1" applyAlignment="1" applyProtection="1">
      <alignment horizontal="center"/>
      <protection locked="0"/>
    </xf>
    <xf numFmtId="0" fontId="27" fillId="0" borderId="1" xfId="0" applyFont="1" applyBorder="1" applyAlignment="1" applyProtection="1">
      <alignment horizontal="center"/>
      <protection locked="0"/>
    </xf>
    <xf numFmtId="0" fontId="29" fillId="0" borderId="10" xfId="0" applyFont="1" applyBorder="1" applyProtection="1">
      <protection locked="0"/>
    </xf>
    <xf numFmtId="0" fontId="29" fillId="0" borderId="15" xfId="0" applyFont="1" applyBorder="1" applyProtection="1">
      <protection locked="0"/>
    </xf>
    <xf numFmtId="0" fontId="27" fillId="0" borderId="2" xfId="0" applyFont="1" applyBorder="1" applyAlignment="1" applyProtection="1">
      <alignment horizontal="center"/>
      <protection locked="0"/>
    </xf>
    <xf numFmtId="0" fontId="29" fillId="0" borderId="13" xfId="0" applyFont="1" applyBorder="1" applyProtection="1">
      <protection locked="0"/>
    </xf>
    <xf numFmtId="0" fontId="29" fillId="0" borderId="11" xfId="0" applyFont="1" applyBorder="1" applyProtection="1">
      <protection locked="0"/>
    </xf>
    <xf numFmtId="0" fontId="27" fillId="0" borderId="5" xfId="0" applyFont="1" applyBorder="1" applyAlignment="1" applyProtection="1">
      <alignment horizontal="center"/>
      <protection locked="0"/>
    </xf>
    <xf numFmtId="0" fontId="29" fillId="0" borderId="12" xfId="0" applyFont="1" applyBorder="1" applyProtection="1">
      <protection locked="0"/>
    </xf>
    <xf numFmtId="0" fontId="30" fillId="0" borderId="0" xfId="0" applyFont="1" applyProtection="1">
      <protection locked="0"/>
    </xf>
    <xf numFmtId="0" fontId="27" fillId="0" borderId="0" xfId="0" applyFont="1" applyBorder="1" applyAlignment="1" applyProtection="1">
      <alignment vertical="center"/>
      <protection locked="0"/>
    </xf>
    <xf numFmtId="0" fontId="27" fillId="0" borderId="0" xfId="0" applyFont="1" applyBorder="1" applyAlignment="1" applyProtection="1">
      <alignment horizontal="center"/>
      <protection locked="0"/>
    </xf>
    <xf numFmtId="0" fontId="27" fillId="0" borderId="0" xfId="0" applyFont="1" applyBorder="1" applyAlignment="1" applyProtection="1">
      <alignment horizontal="center" vertical="center"/>
      <protection locked="0"/>
    </xf>
    <xf numFmtId="0" fontId="29" fillId="2" borderId="0" xfId="0" applyFont="1" applyFill="1" applyBorder="1" applyAlignment="1" applyProtection="1">
      <protection locked="0"/>
    </xf>
    <xf numFmtId="0" fontId="29" fillId="0" borderId="10" xfId="0" applyFont="1" applyBorder="1" applyProtection="1"/>
    <xf numFmtId="0" fontId="29" fillId="0" borderId="11" xfId="0" applyFont="1" applyBorder="1" applyProtection="1"/>
    <xf numFmtId="0" fontId="29" fillId="0" borderId="14" xfId="0" applyFont="1" applyBorder="1" applyProtection="1"/>
    <xf numFmtId="0" fontId="29" fillId="0" borderId="0" xfId="0" applyFont="1" applyProtection="1"/>
    <xf numFmtId="0" fontId="29" fillId="0" borderId="0" xfId="0" applyFont="1" applyBorder="1" applyAlignment="1" applyProtection="1">
      <alignment horizontal="center"/>
    </xf>
    <xf numFmtId="0" fontId="28" fillId="0" borderId="16" xfId="1" applyFont="1" applyBorder="1" applyAlignment="1" applyProtection="1">
      <alignment horizontal="right"/>
    </xf>
    <xf numFmtId="0" fontId="28" fillId="0" borderId="17" xfId="1" applyFont="1" applyBorder="1" applyAlignment="1" applyProtection="1">
      <alignment horizontal="right"/>
    </xf>
    <xf numFmtId="0" fontId="28" fillId="0" borderId="18" xfId="1" applyFont="1" applyBorder="1" applyAlignment="1" applyProtection="1">
      <alignment horizontal="right"/>
    </xf>
    <xf numFmtId="0" fontId="28" fillId="0" borderId="19" xfId="1" applyFont="1" applyBorder="1" applyProtection="1">
      <protection locked="0"/>
    </xf>
    <xf numFmtId="0" fontId="28" fillId="0" borderId="20" xfId="1" applyFont="1" applyBorder="1" applyProtection="1">
      <protection locked="0"/>
    </xf>
    <xf numFmtId="0" fontId="28" fillId="0" borderId="21" xfId="1" applyFont="1" applyBorder="1" applyProtection="1"/>
    <xf numFmtId="0" fontId="27" fillId="0" borderId="10" xfId="1" applyFont="1" applyBorder="1" applyAlignment="1" applyProtection="1">
      <alignment horizontal="center"/>
      <protection locked="0"/>
    </xf>
    <xf numFmtId="0" fontId="27" fillId="0" borderId="11" xfId="1" applyFont="1" applyBorder="1" applyAlignment="1" applyProtection="1">
      <alignment horizontal="center"/>
      <protection locked="0"/>
    </xf>
    <xf numFmtId="0" fontId="27" fillId="0" borderId="14" xfId="1" applyFont="1" applyBorder="1" applyAlignment="1" applyProtection="1">
      <alignment horizontal="center"/>
      <protection locked="0"/>
    </xf>
    <xf numFmtId="0" fontId="28" fillId="0" borderId="4" xfId="1" applyFont="1" applyBorder="1" applyProtection="1"/>
    <xf numFmtId="0" fontId="28" fillId="0" borderId="13" xfId="1" applyFont="1" applyBorder="1" applyProtection="1"/>
    <xf numFmtId="0" fontId="28" fillId="0" borderId="22" xfId="1" applyFont="1" applyBorder="1" applyAlignment="1" applyProtection="1">
      <alignment horizontal="right"/>
    </xf>
    <xf numFmtId="0" fontId="28" fillId="0" borderId="23" xfId="1" applyFont="1" applyBorder="1" applyAlignment="1" applyProtection="1">
      <alignment horizontal="right"/>
    </xf>
    <xf numFmtId="0" fontId="28" fillId="0" borderId="24" xfId="1" applyFont="1" applyBorder="1" applyAlignment="1" applyProtection="1">
      <alignment horizontal="right"/>
    </xf>
    <xf numFmtId="0" fontId="28" fillId="0" borderId="11" xfId="1" applyFont="1" applyBorder="1" applyProtection="1"/>
    <xf numFmtId="0" fontId="28" fillId="0" borderId="25" xfId="1" applyFont="1" applyBorder="1" applyAlignment="1" applyProtection="1">
      <alignment horizontal="right"/>
    </xf>
    <xf numFmtId="0" fontId="28" fillId="0" borderId="12" xfId="1" applyFont="1" applyBorder="1" applyProtection="1"/>
    <xf numFmtId="0" fontId="28" fillId="0" borderId="26" xfId="1" applyFont="1" applyBorder="1" applyAlignment="1" applyProtection="1">
      <alignment horizontal="right"/>
    </xf>
    <xf numFmtId="0" fontId="29" fillId="0" borderId="14" xfId="0" applyFont="1" applyBorder="1" applyProtection="1">
      <protection locked="0"/>
    </xf>
    <xf numFmtId="0" fontId="29" fillId="0" borderId="27" xfId="0" applyFont="1" applyBorder="1" applyProtection="1">
      <protection locked="0"/>
    </xf>
    <xf numFmtId="0" fontId="29" fillId="0" borderId="28" xfId="0" applyFont="1" applyBorder="1" applyProtection="1">
      <protection locked="0"/>
    </xf>
    <xf numFmtId="0" fontId="29" fillId="0" borderId="29" xfId="0" applyFont="1" applyBorder="1" applyProtection="1">
      <protection locked="0"/>
    </xf>
    <xf numFmtId="0" fontId="29" fillId="0" borderId="30" xfId="0" applyFont="1" applyBorder="1" applyProtection="1">
      <protection locked="0"/>
    </xf>
    <xf numFmtId="0" fontId="27" fillId="0" borderId="13" xfId="1" applyFont="1" applyBorder="1" applyAlignment="1" applyProtection="1">
      <alignment horizontal="center"/>
      <protection locked="0"/>
    </xf>
    <xf numFmtId="0" fontId="2" fillId="0" borderId="0" xfId="0" applyFont="1"/>
    <xf numFmtId="0" fontId="31" fillId="0" borderId="0" xfId="0" applyFont="1"/>
    <xf numFmtId="0" fontId="31" fillId="0" borderId="31" xfId="0" applyFont="1" applyBorder="1"/>
    <xf numFmtId="0" fontId="31" fillId="0" borderId="10" xfId="0" applyFont="1" applyBorder="1"/>
    <xf numFmtId="0" fontId="31" fillId="0" borderId="11" xfId="0" applyFont="1" applyBorder="1"/>
    <xf numFmtId="0" fontId="31" fillId="0" borderId="32" xfId="0" applyFont="1" applyBorder="1"/>
    <xf numFmtId="0" fontId="31" fillId="0" borderId="14" xfId="0" applyFont="1" applyBorder="1"/>
    <xf numFmtId="0" fontId="0" fillId="0" borderId="11" xfId="0" applyBorder="1"/>
    <xf numFmtId="0" fontId="27" fillId="0" borderId="33" xfId="0" applyFont="1" applyBorder="1" applyAlignment="1" applyProtection="1">
      <alignment horizontal="center"/>
      <protection locked="0"/>
    </xf>
    <xf numFmtId="0" fontId="29" fillId="0" borderId="10" xfId="0" applyFont="1" applyBorder="1" applyAlignment="1" applyProtection="1">
      <alignment horizontal="center"/>
      <protection locked="0"/>
    </xf>
    <xf numFmtId="0" fontId="29" fillId="0" borderId="15" xfId="0" applyFont="1" applyBorder="1" applyAlignment="1" applyProtection="1">
      <alignment horizontal="center"/>
      <protection locked="0"/>
    </xf>
    <xf numFmtId="0" fontId="29" fillId="0" borderId="13" xfId="0" applyFont="1" applyBorder="1" applyAlignment="1" applyProtection="1">
      <alignment horizontal="center"/>
      <protection locked="0"/>
    </xf>
    <xf numFmtId="0" fontId="27" fillId="0" borderId="34" xfId="0" applyFont="1" applyBorder="1" applyAlignment="1" applyProtection="1">
      <alignment horizontal="center"/>
      <protection locked="0"/>
    </xf>
    <xf numFmtId="0" fontId="3" fillId="0" borderId="31" xfId="0" applyFont="1" applyBorder="1"/>
    <xf numFmtId="0" fontId="4" fillId="0" borderId="3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1" fillId="0" borderId="13" xfId="0" applyFont="1" applyBorder="1"/>
    <xf numFmtId="0" fontId="31" fillId="0" borderId="12" xfId="0" applyFont="1" applyBorder="1"/>
    <xf numFmtId="0" fontId="6" fillId="0" borderId="10" xfId="0" applyFont="1" applyBorder="1"/>
    <xf numFmtId="0" fontId="2" fillId="0" borderId="10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2" fillId="0" borderId="20" xfId="0" applyFont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14" xfId="0" applyFont="1" applyBorder="1" applyAlignment="1">
      <alignment horizontal="center"/>
    </xf>
    <xf numFmtId="0" fontId="32" fillId="0" borderId="21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0" fontId="32" fillId="0" borderId="12" xfId="0" applyFont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32" fillId="0" borderId="26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32" fillId="0" borderId="19" xfId="0" applyFont="1" applyBorder="1" applyAlignment="1">
      <alignment horizontal="center"/>
    </xf>
    <xf numFmtId="0" fontId="32" fillId="0" borderId="22" xfId="0" applyFont="1" applyBorder="1" applyAlignment="1">
      <alignment horizontal="center"/>
    </xf>
    <xf numFmtId="0" fontId="32" fillId="0" borderId="37" xfId="0" applyFont="1" applyBorder="1" applyAlignment="1">
      <alignment horizontal="center"/>
    </xf>
    <xf numFmtId="0" fontId="32" fillId="0" borderId="38" xfId="0" applyFont="1" applyBorder="1" applyAlignment="1">
      <alignment horizontal="center"/>
    </xf>
    <xf numFmtId="0" fontId="32" fillId="0" borderId="39" xfId="0" applyFont="1" applyBorder="1" applyAlignment="1">
      <alignment horizontal="center"/>
    </xf>
    <xf numFmtId="0" fontId="32" fillId="0" borderId="40" xfId="0" applyFont="1" applyBorder="1" applyAlignment="1">
      <alignment horizontal="center"/>
    </xf>
    <xf numFmtId="0" fontId="27" fillId="0" borderId="0" xfId="1" applyFont="1" applyBorder="1" applyAlignment="1" applyProtection="1">
      <alignment horizontal="center"/>
      <protection locked="0"/>
    </xf>
    <xf numFmtId="0" fontId="27" fillId="0" borderId="0" xfId="1" applyFont="1" applyBorder="1" applyAlignment="1" applyProtection="1">
      <alignment horizontal="center" vertical="center"/>
      <protection locked="0"/>
    </xf>
    <xf numFmtId="0" fontId="29" fillId="0" borderId="6" xfId="0" applyFont="1" applyBorder="1" applyProtection="1">
      <protection locked="0"/>
    </xf>
    <xf numFmtId="0" fontId="29" fillId="0" borderId="37" xfId="0" applyFont="1" applyBorder="1" applyProtection="1">
      <protection locked="0"/>
    </xf>
    <xf numFmtId="0" fontId="29" fillId="0" borderId="40" xfId="0" applyFont="1" applyBorder="1" applyProtection="1">
      <protection locked="0"/>
    </xf>
    <xf numFmtId="0" fontId="29" fillId="0" borderId="41" xfId="0" applyFont="1" applyBorder="1" applyProtection="1">
      <protection locked="0"/>
    </xf>
    <xf numFmtId="0" fontId="29" fillId="0" borderId="6" xfId="0" applyFont="1" applyBorder="1" applyAlignment="1" applyProtection="1">
      <alignment horizontal="center"/>
      <protection locked="0"/>
    </xf>
    <xf numFmtId="0" fontId="29" fillId="0" borderId="8" xfId="0" applyFont="1" applyBorder="1" applyAlignment="1" applyProtection="1">
      <alignment horizontal="center"/>
      <protection locked="0"/>
    </xf>
    <xf numFmtId="0" fontId="29" fillId="0" borderId="41" xfId="0" applyFont="1" applyBorder="1" applyAlignment="1" applyProtection="1">
      <alignment horizontal="center"/>
      <protection locked="0"/>
    </xf>
    <xf numFmtId="0" fontId="28" fillId="0" borderId="8" xfId="1" applyFont="1" applyBorder="1" applyAlignment="1" applyProtection="1">
      <alignment horizontal="center" vertical="center"/>
      <protection locked="0"/>
    </xf>
    <xf numFmtId="0" fontId="28" fillId="0" borderId="6" xfId="1" applyFont="1" applyBorder="1" applyAlignment="1" applyProtection="1">
      <alignment horizontal="center" vertical="center"/>
      <protection locked="0"/>
    </xf>
    <xf numFmtId="0" fontId="28" fillId="0" borderId="41" xfId="1" applyFont="1" applyBorder="1" applyAlignment="1" applyProtection="1">
      <alignment horizontal="center" vertical="center"/>
      <protection locked="0"/>
    </xf>
    <xf numFmtId="0" fontId="0" fillId="0" borderId="4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3" xfId="0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3" fontId="0" fillId="0" borderId="43" xfId="0" applyNumberFormat="1" applyBorder="1" applyAlignment="1">
      <alignment horizontal="center"/>
    </xf>
    <xf numFmtId="3" fontId="0" fillId="0" borderId="42" xfId="0" applyNumberForma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2" fillId="0" borderId="43" xfId="0" applyNumberFormat="1" applyFont="1" applyBorder="1" applyAlignment="1">
      <alignment horizontal="center"/>
    </xf>
    <xf numFmtId="3" fontId="2" fillId="0" borderId="42" xfId="0" applyNumberFormat="1" applyFont="1" applyBorder="1" applyAlignment="1">
      <alignment horizontal="center"/>
    </xf>
    <xf numFmtId="0" fontId="29" fillId="0" borderId="43" xfId="0" applyFont="1" applyBorder="1" applyAlignment="1" applyProtection="1">
      <alignment horizontal="center"/>
      <protection locked="0"/>
    </xf>
    <xf numFmtId="0" fontId="29" fillId="0" borderId="42" xfId="0" applyFont="1" applyBorder="1" applyAlignment="1" applyProtection="1">
      <alignment horizontal="center"/>
      <protection locked="0"/>
    </xf>
    <xf numFmtId="0" fontId="29" fillId="0" borderId="17" xfId="0" applyFont="1" applyBorder="1" applyAlignment="1" applyProtection="1">
      <alignment horizontal="center"/>
      <protection locked="0"/>
    </xf>
    <xf numFmtId="0" fontId="29" fillId="0" borderId="44" xfId="0" applyFont="1" applyBorder="1" applyAlignment="1" applyProtection="1">
      <alignment horizontal="center"/>
      <protection locked="0"/>
    </xf>
    <xf numFmtId="0" fontId="29" fillId="0" borderId="45" xfId="0" applyFont="1" applyBorder="1" applyAlignment="1" applyProtection="1">
      <alignment horizontal="center"/>
      <protection locked="0"/>
    </xf>
    <xf numFmtId="0" fontId="29" fillId="0" borderId="18" xfId="0" applyFont="1" applyBorder="1" applyAlignment="1" applyProtection="1">
      <alignment horizontal="center"/>
      <protection locked="0"/>
    </xf>
    <xf numFmtId="3" fontId="0" fillId="0" borderId="46" xfId="0" applyNumberFormat="1" applyBorder="1" applyAlignment="1">
      <alignment horizontal="center"/>
    </xf>
    <xf numFmtId="0" fontId="29" fillId="0" borderId="47" xfId="0" applyFont="1" applyBorder="1" applyAlignment="1" applyProtection="1">
      <alignment horizontal="center"/>
      <protection locked="0"/>
    </xf>
    <xf numFmtId="0" fontId="29" fillId="0" borderId="48" xfId="0" applyFont="1" applyBorder="1" applyAlignment="1" applyProtection="1">
      <alignment horizontal="center"/>
      <protection locked="0"/>
    </xf>
    <xf numFmtId="0" fontId="29" fillId="0" borderId="16" xfId="0" applyFont="1" applyBorder="1" applyAlignment="1" applyProtection="1">
      <alignment horizontal="center"/>
      <protection locked="0"/>
    </xf>
    <xf numFmtId="0" fontId="5" fillId="0" borderId="43" xfId="0" applyFont="1" applyBorder="1" applyAlignment="1">
      <alignment horizontal="center" wrapText="1"/>
    </xf>
    <xf numFmtId="0" fontId="2" fillId="0" borderId="17" xfId="0" applyFont="1" applyBorder="1" applyAlignment="1">
      <alignment horizontal="center"/>
    </xf>
    <xf numFmtId="0" fontId="31" fillId="0" borderId="12" xfId="0" applyFont="1" applyBorder="1" applyAlignment="1">
      <alignment horizontal="center"/>
    </xf>
    <xf numFmtId="0" fontId="31" fillId="0" borderId="14" xfId="0" applyFont="1" applyBorder="1" applyAlignment="1">
      <alignment horizontal="center"/>
    </xf>
    <xf numFmtId="0" fontId="27" fillId="0" borderId="4" xfId="0" applyFont="1" applyBorder="1" applyAlignment="1" applyProtection="1">
      <alignment horizontal="center"/>
      <protection locked="0"/>
    </xf>
    <xf numFmtId="0" fontId="12" fillId="0" borderId="49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29" fillId="0" borderId="8" xfId="0" applyFont="1" applyBorder="1" applyProtection="1"/>
    <xf numFmtId="0" fontId="29" fillId="0" borderId="37" xfId="0" applyFont="1" applyBorder="1" applyProtection="1"/>
    <xf numFmtId="0" fontId="27" fillId="0" borderId="31" xfId="0" applyFont="1" applyBorder="1" applyAlignment="1" applyProtection="1">
      <alignment horizontal="center"/>
      <protection locked="0"/>
    </xf>
    <xf numFmtId="0" fontId="29" fillId="0" borderId="6" xfId="0" applyFont="1" applyBorder="1" applyProtection="1"/>
    <xf numFmtId="0" fontId="29" fillId="0" borderId="14" xfId="0" applyFont="1" applyBorder="1" applyAlignment="1" applyProtection="1">
      <alignment horizontal="center"/>
    </xf>
    <xf numFmtId="0" fontId="29" fillId="0" borderId="24" xfId="0" applyFont="1" applyBorder="1" applyAlignment="1" applyProtection="1">
      <alignment horizontal="center"/>
    </xf>
    <xf numFmtId="0" fontId="29" fillId="0" borderId="6" xfId="0" applyFont="1" applyBorder="1" applyAlignment="1" applyProtection="1">
      <alignment horizontal="center"/>
    </xf>
    <xf numFmtId="0" fontId="29" fillId="0" borderId="51" xfId="0" applyFont="1" applyBorder="1" applyAlignment="1" applyProtection="1">
      <alignment horizontal="center"/>
    </xf>
    <xf numFmtId="0" fontId="29" fillId="0" borderId="8" xfId="0" applyFont="1" applyBorder="1" applyAlignment="1" applyProtection="1">
      <alignment horizontal="center"/>
    </xf>
    <xf numFmtId="0" fontId="12" fillId="0" borderId="52" xfId="0" applyFont="1" applyBorder="1" applyAlignment="1">
      <alignment horizontal="center"/>
    </xf>
    <xf numFmtId="0" fontId="28" fillId="0" borderId="0" xfId="1" applyFont="1" applyBorder="1" applyProtection="1"/>
    <xf numFmtId="0" fontId="28" fillId="0" borderId="0" xfId="1" applyFont="1" applyBorder="1" applyAlignment="1" applyProtection="1">
      <alignment horizontal="right"/>
    </xf>
    <xf numFmtId="0" fontId="28" fillId="0" borderId="32" xfId="1" applyFont="1" applyBorder="1" applyProtection="1"/>
    <xf numFmtId="0" fontId="28" fillId="0" borderId="41" xfId="1" applyFont="1" applyBorder="1" applyProtection="1"/>
    <xf numFmtId="0" fontId="28" fillId="0" borderId="14" xfId="1" applyFont="1" applyBorder="1" applyAlignment="1" applyProtection="1">
      <alignment horizontal="right"/>
    </xf>
    <xf numFmtId="0" fontId="28" fillId="0" borderId="1" xfId="1" applyFont="1" applyBorder="1" applyProtection="1"/>
    <xf numFmtId="3" fontId="2" fillId="0" borderId="53" xfId="0" applyNumberFormat="1" applyFont="1" applyBorder="1" applyAlignment="1">
      <alignment horizontal="center"/>
    </xf>
    <xf numFmtId="3" fontId="2" fillId="0" borderId="54" xfId="0" applyNumberFormat="1" applyFont="1" applyBorder="1" applyAlignment="1">
      <alignment horizontal="center"/>
    </xf>
    <xf numFmtId="0" fontId="31" fillId="0" borderId="24" xfId="0" applyFont="1" applyBorder="1" applyAlignment="1">
      <alignment horizontal="center"/>
    </xf>
    <xf numFmtId="0" fontId="29" fillId="0" borderId="0" xfId="0" applyFont="1" applyAlignment="1" applyProtection="1">
      <alignment wrapText="1"/>
      <protection locked="0"/>
    </xf>
    <xf numFmtId="0" fontId="33" fillId="0" borderId="0" xfId="0" applyFont="1"/>
    <xf numFmtId="0" fontId="2" fillId="0" borderId="0" xfId="1" applyFont="1" applyProtection="1">
      <protection locked="0"/>
    </xf>
    <xf numFmtId="0" fontId="1" fillId="0" borderId="0" xfId="1" applyFont="1" applyProtection="1">
      <protection locked="0"/>
    </xf>
    <xf numFmtId="0" fontId="33" fillId="0" borderId="0" xfId="0" applyFont="1" applyProtection="1">
      <protection locked="0"/>
    </xf>
    <xf numFmtId="0" fontId="2" fillId="0" borderId="0" xfId="2" applyFont="1" applyProtection="1">
      <protection locked="0"/>
    </xf>
    <xf numFmtId="0" fontId="34" fillId="0" borderId="0" xfId="0" applyFont="1"/>
    <xf numFmtId="0" fontId="33" fillId="0" borderId="0" xfId="0" applyFont="1" applyFill="1" applyProtection="1">
      <protection locked="0"/>
    </xf>
    <xf numFmtId="0" fontId="26" fillId="0" borderId="0" xfId="0" applyFont="1" applyFill="1" applyAlignment="1">
      <alignment horizontal="left" wrapText="1"/>
    </xf>
    <xf numFmtId="0" fontId="29" fillId="0" borderId="0" xfId="0" applyFont="1" applyFill="1" applyProtection="1">
      <protection locked="0"/>
    </xf>
    <xf numFmtId="0" fontId="5" fillId="0" borderId="43" xfId="0" applyFont="1" applyBorder="1" applyAlignment="1">
      <alignment horizontal="center" vertical="top" wrapText="1"/>
    </xf>
    <xf numFmtId="0" fontId="32" fillId="0" borderId="0" xfId="0" applyFont="1" applyFill="1" applyAlignment="1">
      <alignment horizontal="left" wrapText="1"/>
    </xf>
    <xf numFmtId="0" fontId="35" fillId="0" borderId="0" xfId="0" applyFont="1" applyFill="1" applyAlignment="1">
      <alignment vertical="top" wrapText="1"/>
    </xf>
    <xf numFmtId="0" fontId="36" fillId="0" borderId="0" xfId="0" applyFont="1"/>
    <xf numFmtId="0" fontId="36" fillId="0" borderId="0" xfId="0" applyFont="1" applyAlignment="1">
      <alignment vertical="top"/>
    </xf>
    <xf numFmtId="0" fontId="32" fillId="0" borderId="0" xfId="0" applyFont="1"/>
    <xf numFmtId="0" fontId="2" fillId="0" borderId="40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2" fillId="0" borderId="6" xfId="0" applyFont="1" applyBorder="1"/>
    <xf numFmtId="0" fontId="3" fillId="0" borderId="40" xfId="0" applyFont="1" applyBorder="1" applyAlignment="1">
      <alignment horizontal="center"/>
    </xf>
    <xf numFmtId="0" fontId="1" fillId="0" borderId="1" xfId="0" applyFont="1" applyBorder="1"/>
    <xf numFmtId="0" fontId="1" fillId="0" borderId="47" xfId="0" applyFont="1" applyBorder="1"/>
    <xf numFmtId="0" fontId="1" fillId="0" borderId="15" xfId="0" applyFont="1" applyBorder="1"/>
    <xf numFmtId="0" fontId="1" fillId="0" borderId="55" xfId="0" applyFont="1" applyBorder="1"/>
    <xf numFmtId="0" fontId="1" fillId="0" borderId="48" xfId="0" applyFont="1" applyBorder="1"/>
    <xf numFmtId="0" fontId="1" fillId="0" borderId="16" xfId="0" applyFont="1" applyBorder="1"/>
    <xf numFmtId="0" fontId="1" fillId="0" borderId="22" xfId="0" applyFont="1" applyBorder="1"/>
    <xf numFmtId="0" fontId="22" fillId="0" borderId="8" xfId="0" applyFont="1" applyBorder="1"/>
    <xf numFmtId="0" fontId="1" fillId="0" borderId="2" xfId="0" applyFont="1" applyBorder="1"/>
    <xf numFmtId="0" fontId="1" fillId="0" borderId="43" xfId="0" applyFont="1" applyBorder="1"/>
    <xf numFmtId="0" fontId="1" fillId="0" borderId="27" xfId="0" applyFont="1" applyBorder="1"/>
    <xf numFmtId="0" fontId="1" fillId="0" borderId="56" xfId="0" applyFont="1" applyBorder="1"/>
    <xf numFmtId="0" fontId="1" fillId="0" borderId="42" xfId="0" applyFont="1" applyBorder="1"/>
    <xf numFmtId="0" fontId="1" fillId="0" borderId="17" xfId="0" applyFont="1" applyBorder="1"/>
    <xf numFmtId="0" fontId="1" fillId="0" borderId="25" xfId="0" applyFont="1" applyBorder="1"/>
    <xf numFmtId="0" fontId="22" fillId="0" borderId="41" xfId="0" applyFont="1" applyBorder="1"/>
    <xf numFmtId="0" fontId="1" fillId="0" borderId="5" xfId="0" applyFont="1" applyBorder="1"/>
    <xf numFmtId="0" fontId="1" fillId="0" borderId="44" xfId="0" applyFont="1" applyBorder="1"/>
    <xf numFmtId="0" fontId="1" fillId="0" borderId="28" xfId="0" applyFont="1" applyBorder="1"/>
    <xf numFmtId="0" fontId="1" fillId="0" borderId="57" xfId="0" applyFont="1" applyBorder="1"/>
    <xf numFmtId="0" fontId="1" fillId="0" borderId="45" xfId="0" applyFont="1" applyBorder="1"/>
    <xf numFmtId="0" fontId="1" fillId="0" borderId="18" xfId="0" applyFont="1" applyBorder="1"/>
    <xf numFmtId="0" fontId="1" fillId="0" borderId="24" xfId="0" applyFont="1" applyBorder="1"/>
    <xf numFmtId="0" fontId="1" fillId="0" borderId="58" xfId="0" applyFont="1" applyBorder="1"/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0" fontId="1" fillId="0" borderId="53" xfId="0" applyFont="1" applyBorder="1"/>
    <xf numFmtId="0" fontId="1" fillId="0" borderId="54" xfId="0" applyFont="1" applyBorder="1"/>
    <xf numFmtId="0" fontId="1" fillId="0" borderId="62" xfId="0" applyFont="1" applyBorder="1"/>
    <xf numFmtId="0" fontId="1" fillId="0" borderId="46" xfId="0" applyFont="1" applyBorder="1"/>
    <xf numFmtId="0" fontId="1" fillId="0" borderId="30" xfId="0" applyFont="1" applyBorder="1"/>
    <xf numFmtId="0" fontId="1" fillId="0" borderId="19" xfId="0" applyFont="1" applyBorder="1"/>
    <xf numFmtId="0" fontId="1" fillId="0" borderId="10" xfId="0" applyFont="1" applyBorder="1"/>
    <xf numFmtId="0" fontId="1" fillId="0" borderId="13" xfId="0" applyFont="1" applyBorder="1"/>
    <xf numFmtId="0" fontId="1" fillId="0" borderId="20" xfId="0" applyFont="1" applyBorder="1"/>
    <xf numFmtId="0" fontId="1" fillId="0" borderId="11" xfId="0" applyFont="1" applyBorder="1"/>
    <xf numFmtId="0" fontId="1" fillId="0" borderId="21" xfId="0" applyFont="1" applyBorder="1"/>
    <xf numFmtId="0" fontId="1" fillId="0" borderId="14" xfId="0" applyFont="1" applyBorder="1"/>
    <xf numFmtId="0" fontId="3" fillId="0" borderId="0" xfId="0" applyFont="1"/>
    <xf numFmtId="0" fontId="3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3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top" wrapText="1"/>
    </xf>
    <xf numFmtId="0" fontId="2" fillId="0" borderId="40" xfId="0" applyFont="1" applyBorder="1" applyAlignment="1">
      <alignment horizontal="center" wrapText="1"/>
    </xf>
    <xf numFmtId="0" fontId="2" fillId="0" borderId="39" xfId="0" applyFont="1" applyBorder="1" applyAlignment="1">
      <alignment horizontal="center" wrapText="1"/>
    </xf>
    <xf numFmtId="0" fontId="2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1" fillId="0" borderId="47" xfId="0" applyFont="1" applyBorder="1"/>
    <xf numFmtId="0" fontId="3" fillId="0" borderId="48" xfId="0" applyFont="1" applyBorder="1" applyAlignment="1">
      <alignment horizontal="center"/>
    </xf>
    <xf numFmtId="0" fontId="31" fillId="0" borderId="48" xfId="0" applyFont="1" applyBorder="1" applyAlignment="1">
      <alignment horizontal="center"/>
    </xf>
    <xf numFmtId="0" fontId="31" fillId="0" borderId="16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2" fillId="0" borderId="34" xfId="0" applyFont="1" applyBorder="1" applyAlignment="1">
      <alignment horizontal="center" vertical="top" wrapText="1"/>
    </xf>
    <xf numFmtId="0" fontId="2" fillId="0" borderId="37" xfId="0" applyFont="1" applyBorder="1" applyAlignment="1">
      <alignment horizontal="center" wrapText="1"/>
    </xf>
    <xf numFmtId="0" fontId="2" fillId="0" borderId="37" xfId="0" applyFont="1" applyBorder="1" applyAlignment="1">
      <alignment horizontal="center" vertical="center" wrapText="1"/>
    </xf>
    <xf numFmtId="0" fontId="31" fillId="0" borderId="43" xfId="0" applyFont="1" applyBorder="1"/>
    <xf numFmtId="0" fontId="3" fillId="0" borderId="42" xfId="0" applyFont="1" applyBorder="1" applyAlignment="1">
      <alignment horizontal="center"/>
    </xf>
    <xf numFmtId="0" fontId="31" fillId="0" borderId="42" xfId="0" applyFont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22" fillId="0" borderId="1" xfId="0" applyFont="1" applyBorder="1" applyAlignment="1">
      <alignment wrapText="1"/>
    </xf>
    <xf numFmtId="0" fontId="22" fillId="0" borderId="47" xfId="0" applyFont="1" applyBorder="1" applyAlignment="1">
      <alignment wrapText="1"/>
    </xf>
    <xf numFmtId="0" fontId="22" fillId="0" borderId="15" xfId="0" applyFont="1" applyBorder="1" applyAlignment="1">
      <alignment wrapText="1"/>
    </xf>
    <xf numFmtId="0" fontId="22" fillId="0" borderId="55" xfId="0" applyFont="1" applyBorder="1" applyAlignment="1">
      <alignment wrapText="1"/>
    </xf>
    <xf numFmtId="0" fontId="22" fillId="0" borderId="48" xfId="0" applyFont="1" applyBorder="1" applyAlignment="1">
      <alignment wrapText="1"/>
    </xf>
    <xf numFmtId="0" fontId="22" fillId="0" borderId="16" xfId="0" applyFont="1" applyBorder="1" applyAlignment="1">
      <alignment wrapText="1"/>
    </xf>
    <xf numFmtId="0" fontId="22" fillId="0" borderId="22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1" fillId="0" borderId="44" xfId="0" applyFont="1" applyBorder="1"/>
    <xf numFmtId="0" fontId="3" fillId="0" borderId="45" xfId="0" applyFont="1" applyBorder="1" applyAlignment="1">
      <alignment horizontal="center"/>
    </xf>
    <xf numFmtId="0" fontId="31" fillId="0" borderId="45" xfId="0" applyFont="1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22" fillId="0" borderId="2" xfId="0" applyFont="1" applyBorder="1" applyAlignment="1">
      <alignment wrapText="1"/>
    </xf>
    <xf numFmtId="0" fontId="22" fillId="0" borderId="43" xfId="0" applyFont="1" applyBorder="1" applyAlignment="1">
      <alignment wrapText="1"/>
    </xf>
    <xf numFmtId="0" fontId="22" fillId="0" borderId="27" xfId="0" applyFont="1" applyBorder="1" applyAlignment="1">
      <alignment wrapText="1"/>
    </xf>
    <xf numFmtId="0" fontId="22" fillId="0" borderId="56" xfId="0" applyFont="1" applyBorder="1" applyAlignment="1">
      <alignment wrapText="1"/>
    </xf>
    <xf numFmtId="0" fontId="22" fillId="0" borderId="42" xfId="0" applyFont="1" applyBorder="1" applyAlignment="1">
      <alignment wrapText="1"/>
    </xf>
    <xf numFmtId="0" fontId="22" fillId="0" borderId="17" xfId="0" applyFont="1" applyBorder="1" applyAlignment="1">
      <alignment wrapText="1"/>
    </xf>
    <xf numFmtId="0" fontId="22" fillId="0" borderId="25" xfId="0" applyFont="1" applyBorder="1" applyAlignment="1">
      <alignment wrapText="1"/>
    </xf>
    <xf numFmtId="0" fontId="32" fillId="0" borderId="2" xfId="0" applyFont="1" applyBorder="1" applyAlignment="1">
      <alignment horizontal="center"/>
    </xf>
    <xf numFmtId="0" fontId="35" fillId="0" borderId="11" xfId="0" applyFont="1" applyBorder="1" applyAlignment="1">
      <alignment horizontal="center" vertical="center" wrapText="1"/>
    </xf>
    <xf numFmtId="0" fontId="35" fillId="0" borderId="20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2" fillId="0" borderId="5" xfId="0" applyFont="1" applyBorder="1" applyAlignment="1">
      <alignment wrapText="1"/>
    </xf>
    <xf numFmtId="0" fontId="22" fillId="0" borderId="44" xfId="0" applyFont="1" applyBorder="1" applyAlignment="1">
      <alignment wrapText="1"/>
    </xf>
    <xf numFmtId="0" fontId="22" fillId="0" borderId="28" xfId="0" applyFont="1" applyBorder="1" applyAlignment="1">
      <alignment wrapText="1"/>
    </xf>
    <xf numFmtId="0" fontId="22" fillId="0" borderId="57" xfId="0" applyFont="1" applyBorder="1" applyAlignment="1">
      <alignment wrapText="1"/>
    </xf>
    <xf numFmtId="0" fontId="22" fillId="0" borderId="45" xfId="0" applyFont="1" applyBorder="1" applyAlignment="1">
      <alignment wrapText="1"/>
    </xf>
    <xf numFmtId="0" fontId="22" fillId="0" borderId="18" xfId="0" applyFont="1" applyBorder="1" applyAlignment="1">
      <alignment wrapText="1"/>
    </xf>
    <xf numFmtId="0" fontId="22" fillId="0" borderId="24" xfId="0" applyFont="1" applyBorder="1" applyAlignment="1">
      <alignment wrapText="1"/>
    </xf>
    <xf numFmtId="0" fontId="32" fillId="0" borderId="5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 wrapText="1"/>
    </xf>
    <xf numFmtId="0" fontId="35" fillId="0" borderId="21" xfId="0" applyFont="1" applyBorder="1" applyAlignment="1">
      <alignment horizontal="center" vertical="center" wrapText="1"/>
    </xf>
    <xf numFmtId="0" fontId="35" fillId="0" borderId="24" xfId="0" applyFont="1" applyBorder="1" applyAlignment="1">
      <alignment horizontal="center" vertical="center" wrapText="1"/>
    </xf>
    <xf numFmtId="0" fontId="22" fillId="0" borderId="58" xfId="0" applyFont="1" applyBorder="1" applyAlignment="1">
      <alignment wrapText="1"/>
    </xf>
    <xf numFmtId="0" fontId="22" fillId="0" borderId="59" xfId="0" applyFont="1" applyBorder="1" applyAlignment="1">
      <alignment wrapText="1"/>
    </xf>
    <xf numFmtId="0" fontId="22" fillId="0" borderId="60" xfId="0" applyFont="1" applyBorder="1" applyAlignment="1">
      <alignment wrapText="1"/>
    </xf>
    <xf numFmtId="0" fontId="22" fillId="0" borderId="61" xfId="0" applyFont="1" applyBorder="1" applyAlignment="1">
      <alignment wrapText="1"/>
    </xf>
    <xf numFmtId="0" fontId="4" fillId="0" borderId="4" xfId="0" applyFont="1" applyBorder="1" applyAlignment="1">
      <alignment horizontal="center"/>
    </xf>
    <xf numFmtId="0" fontId="35" fillId="0" borderId="13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22" fillId="0" borderId="53" xfId="0" applyFont="1" applyBorder="1" applyAlignment="1">
      <alignment wrapText="1"/>
    </xf>
    <xf numFmtId="0" fontId="22" fillId="0" borderId="54" xfId="0" applyFont="1" applyBorder="1" applyAlignment="1">
      <alignment wrapText="1"/>
    </xf>
    <xf numFmtId="0" fontId="22" fillId="0" borderId="62" xfId="0" applyFont="1" applyBorder="1" applyAlignment="1">
      <alignment wrapText="1"/>
    </xf>
    <xf numFmtId="0" fontId="22" fillId="0" borderId="46" xfId="0" applyFont="1" applyBorder="1" applyAlignment="1">
      <alignment wrapText="1"/>
    </xf>
    <xf numFmtId="0" fontId="32" fillId="0" borderId="3" xfId="0" applyFont="1" applyBorder="1" applyAlignment="1">
      <alignment horizontal="center"/>
    </xf>
    <xf numFmtId="0" fontId="35" fillId="0" borderId="12" xfId="0" applyFont="1" applyBorder="1" applyAlignment="1">
      <alignment horizontal="center" vertical="center" wrapText="1"/>
    </xf>
    <xf numFmtId="0" fontId="35" fillId="0" borderId="36" xfId="0" applyFont="1" applyBorder="1" applyAlignment="1">
      <alignment horizontal="center" vertical="center" wrapText="1"/>
    </xf>
    <xf numFmtId="0" fontId="35" fillId="0" borderId="26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5" fillId="0" borderId="10" xfId="0" applyFont="1" applyBorder="1" applyAlignment="1">
      <alignment horizontal="center" vertical="center" wrapText="1"/>
    </xf>
    <xf numFmtId="0" fontId="35" fillId="0" borderId="19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4" fillId="0" borderId="33" xfId="0" applyFont="1" applyBorder="1" applyAlignment="1">
      <alignment horizontal="center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/>
    </xf>
    <xf numFmtId="0" fontId="24" fillId="0" borderId="0" xfId="0" applyFont="1"/>
    <xf numFmtId="0" fontId="3" fillId="0" borderId="5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1" fillId="0" borderId="7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22" fillId="0" borderId="30" xfId="0" applyFont="1" applyBorder="1" applyAlignment="1">
      <alignment wrapText="1"/>
    </xf>
    <xf numFmtId="0" fontId="3" fillId="0" borderId="11" xfId="0" applyFont="1" applyBorder="1" applyAlignment="1">
      <alignment horizontal="center"/>
    </xf>
    <xf numFmtId="0" fontId="31" fillId="0" borderId="26" xfId="0" applyFont="1" applyBorder="1" applyAlignment="1">
      <alignment horizontal="center"/>
    </xf>
    <xf numFmtId="0" fontId="22" fillId="0" borderId="19" xfId="0" applyFont="1" applyBorder="1" applyAlignment="1">
      <alignment wrapText="1"/>
    </xf>
    <xf numFmtId="0" fontId="22" fillId="0" borderId="10" xfId="0" applyFont="1" applyBorder="1" applyAlignment="1">
      <alignment wrapText="1"/>
    </xf>
    <xf numFmtId="0" fontId="22" fillId="0" borderId="13" xfId="0" applyFont="1" applyBorder="1" applyAlignment="1">
      <alignment wrapText="1"/>
    </xf>
    <xf numFmtId="0" fontId="4" fillId="0" borderId="37" xfId="0" applyFont="1" applyBorder="1" applyAlignment="1">
      <alignment horizontal="center"/>
    </xf>
    <xf numFmtId="0" fontId="35" fillId="0" borderId="4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/>
    </xf>
    <xf numFmtId="0" fontId="22" fillId="0" borderId="20" xfId="0" applyFont="1" applyBorder="1" applyAlignment="1">
      <alignment wrapText="1"/>
    </xf>
    <xf numFmtId="0" fontId="22" fillId="0" borderId="11" xfId="0" applyFont="1" applyBorder="1" applyAlignment="1">
      <alignment wrapText="1"/>
    </xf>
    <xf numFmtId="0" fontId="32" fillId="0" borderId="8" xfId="0" applyFont="1" applyBorder="1" applyAlignment="1">
      <alignment horizontal="center"/>
    </xf>
    <xf numFmtId="0" fontId="22" fillId="0" borderId="21" xfId="0" applyFont="1" applyBorder="1" applyAlignment="1">
      <alignment wrapText="1"/>
    </xf>
    <xf numFmtId="0" fontId="22" fillId="0" borderId="14" xfId="0" applyFont="1" applyBorder="1" applyAlignment="1">
      <alignment wrapText="1"/>
    </xf>
    <xf numFmtId="0" fontId="32" fillId="0" borderId="41" xfId="0" applyFont="1" applyBorder="1" applyAlignment="1">
      <alignment horizontal="center"/>
    </xf>
    <xf numFmtId="0" fontId="4" fillId="0" borderId="0" xfId="0" applyFont="1"/>
    <xf numFmtId="0" fontId="33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wrapText="1"/>
    </xf>
    <xf numFmtId="0" fontId="6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7" fillId="0" borderId="0" xfId="0" applyFont="1"/>
    <xf numFmtId="0" fontId="38" fillId="0" borderId="0" xfId="0" applyFont="1"/>
    <xf numFmtId="0" fontId="0" fillId="0" borderId="6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0" xfId="0" applyBorder="1"/>
    <xf numFmtId="0" fontId="0" fillId="0" borderId="42" xfId="0" applyBorder="1"/>
    <xf numFmtId="0" fontId="2" fillId="0" borderId="37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3" borderId="0" xfId="0" applyFill="1"/>
    <xf numFmtId="0" fontId="29" fillId="3" borderId="0" xfId="0" applyFont="1" applyFill="1" applyProtection="1">
      <protection locked="0"/>
    </xf>
    <xf numFmtId="0" fontId="39" fillId="0" borderId="0" xfId="0" applyFont="1"/>
    <xf numFmtId="0" fontId="29" fillId="0" borderId="6" xfId="0" applyFont="1" applyBorder="1" applyAlignment="1" applyProtection="1">
      <alignment horizontal="center"/>
      <protection locked="0"/>
    </xf>
    <xf numFmtId="0" fontId="2" fillId="0" borderId="42" xfId="0" applyFont="1" applyBorder="1" applyAlignment="1">
      <alignment horizontal="center" wrapText="1"/>
    </xf>
    <xf numFmtId="0" fontId="0" fillId="0" borderId="56" xfId="0" applyBorder="1" applyAlignment="1">
      <alignment horizontal="center"/>
    </xf>
    <xf numFmtId="0" fontId="29" fillId="0" borderId="11" xfId="0" applyFont="1" applyBorder="1" applyAlignment="1" applyProtection="1">
      <alignment horizontal="center"/>
      <protection locked="0"/>
    </xf>
    <xf numFmtId="0" fontId="29" fillId="0" borderId="14" xfId="0" applyFont="1" applyBorder="1" applyAlignment="1" applyProtection="1">
      <alignment horizontal="center"/>
      <protection locked="0"/>
    </xf>
    <xf numFmtId="0" fontId="27" fillId="0" borderId="6" xfId="1" applyFont="1" applyBorder="1" applyAlignment="1" applyProtection="1">
      <alignment horizontal="center" vertical="center"/>
      <protection locked="0"/>
    </xf>
    <xf numFmtId="0" fontId="27" fillId="0" borderId="41" xfId="1" applyFont="1" applyBorder="1" applyAlignment="1" applyProtection="1">
      <alignment horizontal="center" vertical="center"/>
      <protection locked="0"/>
    </xf>
    <xf numFmtId="0" fontId="28" fillId="0" borderId="31" xfId="1" applyFont="1" applyBorder="1" applyAlignment="1" applyProtection="1">
      <alignment horizontal="center" vertical="center"/>
      <protection locked="0"/>
    </xf>
    <xf numFmtId="0" fontId="28" fillId="0" borderId="34" xfId="1" applyFont="1" applyBorder="1" applyAlignment="1" applyProtection="1">
      <alignment horizontal="center" vertical="center"/>
      <protection locked="0"/>
    </xf>
    <xf numFmtId="0" fontId="28" fillId="0" borderId="32" xfId="1" applyFont="1" applyBorder="1" applyAlignment="1" applyProtection="1">
      <alignment horizontal="center" vertical="center"/>
      <protection locked="0"/>
    </xf>
    <xf numFmtId="0" fontId="40" fillId="4" borderId="0" xfId="0" applyFont="1" applyFill="1" applyAlignment="1">
      <alignment horizontal="left" vertical="top" wrapText="1"/>
    </xf>
    <xf numFmtId="0" fontId="26" fillId="4" borderId="0" xfId="0" applyFont="1" applyFill="1" applyAlignment="1">
      <alignment horizontal="left" vertical="top" wrapText="1"/>
    </xf>
    <xf numFmtId="0" fontId="27" fillId="0" borderId="6" xfId="2" applyFont="1" applyBorder="1" applyAlignment="1" applyProtection="1">
      <alignment horizontal="center" vertical="center"/>
      <protection locked="0"/>
    </xf>
    <xf numFmtId="0" fontId="27" fillId="0" borderId="8" xfId="2" applyFont="1" applyBorder="1" applyAlignment="1" applyProtection="1">
      <alignment horizontal="center" vertical="center"/>
      <protection locked="0"/>
    </xf>
    <xf numFmtId="0" fontId="27" fillId="0" borderId="8" xfId="1" applyFont="1" applyBorder="1" applyAlignment="1" applyProtection="1">
      <alignment horizontal="center" vertical="center"/>
      <protection locked="0"/>
    </xf>
    <xf numFmtId="0" fontId="28" fillId="0" borderId="8" xfId="1" applyFont="1" applyBorder="1" applyAlignment="1" applyProtection="1">
      <alignment horizontal="center" vertical="center"/>
      <protection locked="0"/>
    </xf>
    <xf numFmtId="0" fontId="27" fillId="0" borderId="6" xfId="0" applyFont="1" applyBorder="1" applyAlignment="1" applyProtection="1">
      <alignment horizontal="center" vertical="center"/>
      <protection locked="0"/>
    </xf>
    <xf numFmtId="0" fontId="27" fillId="0" borderId="41" xfId="0" applyFont="1" applyBorder="1" applyAlignment="1" applyProtection="1">
      <alignment horizontal="center" vertical="center"/>
      <protection locked="0"/>
    </xf>
    <xf numFmtId="0" fontId="2" fillId="0" borderId="31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7" fillId="0" borderId="31" xfId="2" applyFont="1" applyBorder="1" applyAlignment="1" applyProtection="1">
      <alignment horizontal="center"/>
      <protection locked="0"/>
    </xf>
    <xf numFmtId="0" fontId="27" fillId="0" borderId="7" xfId="2" applyFont="1" applyBorder="1" applyAlignment="1" applyProtection="1">
      <alignment horizontal="center"/>
      <protection locked="0"/>
    </xf>
    <xf numFmtId="0" fontId="27" fillId="0" borderId="8" xfId="0" applyFont="1" applyBorder="1" applyAlignment="1" applyProtection="1">
      <alignment horizontal="center" vertical="center"/>
      <protection locked="0"/>
    </xf>
    <xf numFmtId="0" fontId="28" fillId="0" borderId="1" xfId="1" applyFont="1" applyBorder="1" applyAlignment="1" applyProtection="1">
      <alignment horizontal="center" vertical="center"/>
      <protection locked="0"/>
    </xf>
    <xf numFmtId="0" fontId="28" fillId="0" borderId="2" xfId="1" applyFont="1" applyBorder="1" applyAlignment="1" applyProtection="1">
      <alignment horizontal="center" vertical="center"/>
      <protection locked="0"/>
    </xf>
    <xf numFmtId="0" fontId="28" fillId="0" borderId="5" xfId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left" vertical="top" wrapText="1"/>
    </xf>
    <xf numFmtId="0" fontId="5" fillId="0" borderId="41" xfId="0" applyFont="1" applyBorder="1" applyAlignment="1">
      <alignment horizontal="left" vertical="top" wrapText="1"/>
    </xf>
    <xf numFmtId="0" fontId="2" fillId="0" borderId="33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8" fillId="0" borderId="6" xfId="1" applyFont="1" applyBorder="1" applyAlignment="1" applyProtection="1">
      <alignment horizontal="center" vertical="center"/>
      <protection locked="0"/>
    </xf>
    <xf numFmtId="0" fontId="28" fillId="0" borderId="41" xfId="1" applyFont="1" applyBorder="1" applyAlignment="1" applyProtection="1">
      <alignment horizontal="center" vertical="center"/>
      <protection locked="0"/>
    </xf>
    <xf numFmtId="0" fontId="27" fillId="0" borderId="34" xfId="1" applyFont="1" applyBorder="1" applyAlignment="1" applyProtection="1">
      <alignment horizontal="center" vertical="center"/>
      <protection locked="0"/>
    </xf>
    <xf numFmtId="0" fontId="27" fillId="0" borderId="32" xfId="1" applyFont="1" applyBorder="1" applyAlignment="1" applyProtection="1">
      <alignment horizontal="center" vertical="center"/>
      <protection locked="0"/>
    </xf>
    <xf numFmtId="0" fontId="27" fillId="0" borderId="31" xfId="2" applyFont="1" applyBorder="1" applyAlignment="1" applyProtection="1">
      <alignment horizontal="center" vertical="center"/>
      <protection locked="0"/>
    </xf>
    <xf numFmtId="0" fontId="27" fillId="0" borderId="34" xfId="2" applyFont="1" applyBorder="1" applyAlignment="1" applyProtection="1">
      <alignment horizontal="center" vertical="center"/>
      <protection locked="0"/>
    </xf>
    <xf numFmtId="0" fontId="35" fillId="4" borderId="0" xfId="0" applyFont="1" applyFill="1" applyAlignment="1">
      <alignment horizontal="left" vertical="top" wrapText="1"/>
    </xf>
    <xf numFmtId="0" fontId="39" fillId="0" borderId="0" xfId="0" applyFont="1" applyAlignment="1">
      <alignment horizontal="left" vertical="top" wrapText="1"/>
    </xf>
    <xf numFmtId="0" fontId="4" fillId="0" borderId="31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wrapText="1"/>
    </xf>
    <xf numFmtId="0" fontId="2" fillId="0" borderId="40" xfId="0" applyFont="1" applyBorder="1" applyAlignment="1">
      <alignment horizontal="center" wrapText="1"/>
    </xf>
    <xf numFmtId="0" fontId="2" fillId="0" borderId="39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41" xfId="0" applyFont="1" applyBorder="1" applyAlignment="1">
      <alignment horizont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29" fillId="0" borderId="6" xfId="0" applyFont="1" applyBorder="1" applyAlignment="1" applyProtection="1">
      <alignment horizontal="center"/>
      <protection locked="0"/>
    </xf>
    <xf numFmtId="0" fontId="29" fillId="0" borderId="8" xfId="0" applyFont="1" applyBorder="1" applyAlignment="1" applyProtection="1">
      <alignment horizontal="center"/>
      <protection locked="0"/>
    </xf>
    <xf numFmtId="0" fontId="29" fillId="0" borderId="41" xfId="0" applyFont="1" applyBorder="1" applyAlignment="1" applyProtection="1">
      <alignment horizontal="center"/>
      <protection locked="0"/>
    </xf>
    <xf numFmtId="0" fontId="2" fillId="0" borderId="5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12" fillId="0" borderId="64" xfId="0" applyFont="1" applyBorder="1" applyAlignment="1">
      <alignment horizontal="center" wrapText="1"/>
    </xf>
    <xf numFmtId="0" fontId="12" fillId="0" borderId="65" xfId="0" applyFont="1" applyBorder="1" applyAlignment="1">
      <alignment horizontal="center" wrapText="1"/>
    </xf>
    <xf numFmtId="0" fontId="12" fillId="0" borderId="66" xfId="0" applyFont="1" applyBorder="1" applyAlignment="1">
      <alignment horizontal="center" wrapText="1"/>
    </xf>
    <xf numFmtId="0" fontId="12" fillId="0" borderId="67" xfId="0" applyFont="1" applyBorder="1" applyAlignment="1">
      <alignment horizontal="center" wrapText="1"/>
    </xf>
    <xf numFmtId="0" fontId="12" fillId="0" borderId="68" xfId="0" applyFont="1" applyBorder="1" applyAlignment="1">
      <alignment horizontal="center"/>
    </xf>
    <xf numFmtId="0" fontId="12" fillId="0" borderId="69" xfId="0" applyFont="1" applyBorder="1" applyAlignment="1">
      <alignment horizontal="center"/>
    </xf>
  </cellXfs>
  <cellStyles count="3">
    <cellStyle name="Normal" xfId="0" builtinId="0"/>
    <cellStyle name="Normal 2" xfId="1" xr:uid="{1929B84B-D996-7C4B-865E-9745C18A4216}"/>
    <cellStyle name="Normal 3" xfId="2" xr:uid="{5FCE6CDD-38A2-C048-A773-55184FC40C8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EE067-3DA4-FF46-AE20-A30584E64DA8}">
  <sheetPr>
    <pageSetUpPr fitToPage="1"/>
  </sheetPr>
  <dimension ref="C1:BV253"/>
  <sheetViews>
    <sheetView tabSelected="1" zoomScale="90" zoomScaleNormal="90" workbookViewId="0">
      <selection activeCell="K1" sqref="K1"/>
    </sheetView>
  </sheetViews>
  <sheetFormatPr baseColWidth="10" defaultColWidth="9.1640625" defaultRowHeight="13" x14ac:dyDescent="0.15"/>
  <cols>
    <col min="1" max="1" width="5.5" style="3" customWidth="1"/>
    <col min="2" max="2" width="5.6640625" style="3" customWidth="1"/>
    <col min="3" max="3" width="39.5" style="3" customWidth="1"/>
    <col min="4" max="4" width="10" style="3" customWidth="1"/>
    <col min="5" max="5" width="9.83203125" style="3" customWidth="1"/>
    <col min="6" max="6" width="9.1640625" style="3"/>
    <col min="7" max="8" width="10" style="3" customWidth="1"/>
    <col min="9" max="9" width="41.83203125" style="3" customWidth="1"/>
    <col min="10" max="12" width="14" style="3" customWidth="1"/>
    <col min="13" max="13" width="9.1640625" style="3"/>
    <col min="14" max="14" width="10.5" style="3" customWidth="1"/>
    <col min="15" max="15" width="39.1640625" style="3" customWidth="1"/>
    <col min="16" max="18" width="13.6640625" style="3" customWidth="1"/>
    <col min="19" max="20" width="9.1640625" style="3"/>
    <col min="21" max="21" width="38.83203125" style="3" customWidth="1"/>
    <col min="22" max="22" width="14.33203125" style="3" customWidth="1"/>
    <col min="23" max="23" width="13.83203125" style="3" customWidth="1"/>
    <col min="24" max="24" width="14.33203125" style="3" customWidth="1"/>
    <col min="25" max="26" width="9.1640625" style="3"/>
    <col min="27" max="27" width="41.1640625" style="3" customWidth="1"/>
    <col min="28" max="28" width="14.6640625" style="3" customWidth="1"/>
    <col min="29" max="33" width="9" style="3" customWidth="1"/>
    <col min="34" max="34" width="13.5" style="3" customWidth="1"/>
    <col min="35" max="36" width="9.1640625" style="3"/>
    <col min="37" max="37" width="41.5" style="3" customWidth="1"/>
    <col min="38" max="42" width="9.1640625" style="3"/>
    <col min="43" max="43" width="44.5" style="3" customWidth="1"/>
    <col min="44" max="44" width="13.6640625" style="3" customWidth="1"/>
    <col min="45" max="45" width="13.33203125" style="3" customWidth="1"/>
    <col min="46" max="46" width="14" style="3" customWidth="1"/>
    <col min="47" max="47" width="12.5" style="3" customWidth="1"/>
    <col min="48" max="48" width="14.33203125" style="3" customWidth="1"/>
    <col min="49" max="49" width="14.5" style="3" customWidth="1"/>
    <col min="50" max="52" width="9.1640625" style="3"/>
    <col min="53" max="53" width="47" style="3" customWidth="1"/>
    <col min="54" max="54" width="13.83203125" style="3" customWidth="1"/>
    <col min="55" max="55" width="13.5" style="3" customWidth="1"/>
    <col min="56" max="56" width="13.6640625" style="3" customWidth="1"/>
    <col min="57" max="57" width="12.33203125" style="3" customWidth="1"/>
    <col min="58" max="58" width="14.5" style="3" customWidth="1"/>
    <col min="59" max="59" width="14.83203125" style="3" customWidth="1"/>
    <col min="60" max="62" width="9.1640625" style="3"/>
    <col min="63" max="63" width="40" style="3" customWidth="1"/>
    <col min="64" max="64" width="15.33203125" style="3" customWidth="1"/>
    <col min="65" max="65" width="14.5" style="3" customWidth="1"/>
    <col min="66" max="66" width="13.1640625" style="3" customWidth="1"/>
    <col min="67" max="67" width="14.5" style="3" customWidth="1"/>
    <col min="68" max="68" width="13.33203125" style="3" customWidth="1"/>
    <col min="69" max="69" width="14.83203125" style="3" customWidth="1"/>
    <col min="70" max="16384" width="9.1640625" style="3"/>
  </cols>
  <sheetData>
    <row r="1" spans="3:74" s="364" customFormat="1" x14ac:dyDescent="0.15"/>
    <row r="2" spans="3:74" ht="33" customHeight="1" x14ac:dyDescent="0.15">
      <c r="AQ2" s="404" t="s">
        <v>85</v>
      </c>
      <c r="AR2" s="404"/>
      <c r="AS2" s="404"/>
      <c r="AT2" s="404"/>
      <c r="AU2" s="404"/>
      <c r="AV2" s="404"/>
      <c r="AW2" s="404"/>
      <c r="AX2" s="404"/>
      <c r="AY2" s="404"/>
    </row>
    <row r="3" spans="3:74" x14ac:dyDescent="0.15">
      <c r="AA3" s="177" t="s">
        <v>53</v>
      </c>
      <c r="AB3" s="177"/>
      <c r="AC3" s="176"/>
      <c r="AD3" s="176"/>
      <c r="AE3" s="176"/>
      <c r="AF3" s="176"/>
      <c r="AG3" s="176"/>
      <c r="AH3" s="176"/>
      <c r="AQ3" s="72" t="s">
        <v>54</v>
      </c>
      <c r="AR3" s="176"/>
      <c r="AS3" s="176"/>
      <c r="AT3" s="176"/>
      <c r="AU3" s="176"/>
      <c r="AV3" s="176"/>
      <c r="AW3" s="176"/>
      <c r="AX3" s="176"/>
      <c r="AY3" s="176"/>
      <c r="BA3" s="72" t="s">
        <v>87</v>
      </c>
      <c r="BK3" s="72" t="s">
        <v>89</v>
      </c>
    </row>
    <row r="4" spans="3:74" s="176" customFormat="1" ht="13.75" customHeight="1" x14ac:dyDescent="0.2">
      <c r="C4" s="174" t="s">
        <v>49</v>
      </c>
      <c r="D4" s="174"/>
      <c r="E4" s="174"/>
      <c r="F4" s="174"/>
      <c r="G4" s="175"/>
      <c r="H4" s="175"/>
      <c r="I4" s="174" t="s">
        <v>50</v>
      </c>
      <c r="J4" s="174"/>
      <c r="K4" s="174"/>
      <c r="L4" s="174"/>
      <c r="M4" s="175"/>
      <c r="N4" s="175"/>
      <c r="O4" s="174" t="s">
        <v>51</v>
      </c>
      <c r="P4" s="73"/>
      <c r="Q4" s="73"/>
      <c r="R4" s="174"/>
      <c r="U4" s="174" t="s">
        <v>52</v>
      </c>
      <c r="V4" s="73"/>
      <c r="W4" s="73"/>
      <c r="AA4" s="177" t="s">
        <v>0</v>
      </c>
      <c r="AB4" s="177"/>
      <c r="AK4" s="72" t="s">
        <v>81</v>
      </c>
      <c r="AQ4" s="178" t="s">
        <v>86</v>
      </c>
      <c r="BA4" s="185" t="s">
        <v>88</v>
      </c>
      <c r="BB4" s="12"/>
      <c r="BC4" s="3"/>
      <c r="BD4" s="3"/>
      <c r="BE4" s="3"/>
      <c r="BF4" s="3"/>
      <c r="BG4" s="3"/>
      <c r="BH4" s="3"/>
      <c r="BI4" s="3"/>
      <c r="BJ4" s="3"/>
      <c r="BK4" s="186" t="s">
        <v>90</v>
      </c>
      <c r="BL4" s="12"/>
      <c r="BM4" s="3"/>
      <c r="BN4" s="3"/>
      <c r="BO4" s="3"/>
      <c r="BP4" s="3"/>
      <c r="BQ4" s="3"/>
      <c r="BR4" s="3"/>
      <c r="BS4" s="183"/>
      <c r="BT4" s="183"/>
      <c r="BU4" s="183"/>
      <c r="BV4" s="183"/>
    </row>
    <row r="5" spans="3:74" s="176" customFormat="1" ht="58.25" customHeight="1" x14ac:dyDescent="0.15">
      <c r="C5" s="174" t="s">
        <v>0</v>
      </c>
      <c r="D5" s="174"/>
      <c r="E5" s="174"/>
      <c r="F5" s="174"/>
      <c r="G5" s="175"/>
      <c r="H5" s="175"/>
      <c r="I5" s="174" t="s">
        <v>0</v>
      </c>
      <c r="J5" s="174"/>
      <c r="K5" s="174"/>
      <c r="L5" s="174"/>
      <c r="M5" s="175"/>
      <c r="N5" s="175"/>
      <c r="O5" s="174" t="s">
        <v>0</v>
      </c>
      <c r="P5" s="73"/>
      <c r="Q5" s="73"/>
      <c r="R5" s="175"/>
      <c r="U5" s="174" t="s">
        <v>0</v>
      </c>
      <c r="V5" s="73"/>
      <c r="W5" s="73"/>
      <c r="AA5" s="376" t="s">
        <v>55</v>
      </c>
      <c r="AB5" s="377"/>
      <c r="AC5" s="377"/>
      <c r="AD5" s="377"/>
      <c r="AE5" s="377"/>
      <c r="AF5" s="377"/>
      <c r="AG5" s="377"/>
      <c r="AH5" s="377"/>
      <c r="AK5" s="72" t="s">
        <v>7</v>
      </c>
      <c r="AL5" s="3"/>
      <c r="AM5" s="3"/>
      <c r="AN5" s="3"/>
      <c r="AQ5" s="376" t="s">
        <v>57</v>
      </c>
      <c r="AR5" s="377"/>
      <c r="AS5" s="377"/>
      <c r="AT5" s="377"/>
      <c r="AU5" s="377"/>
      <c r="AV5" s="377"/>
      <c r="AW5" s="377"/>
      <c r="AX5" s="179"/>
      <c r="AY5" s="179"/>
      <c r="BA5" s="403" t="s">
        <v>56</v>
      </c>
      <c r="BB5" s="403"/>
      <c r="BC5" s="403"/>
      <c r="BD5" s="403"/>
      <c r="BE5" s="403"/>
      <c r="BF5" s="403"/>
      <c r="BG5" s="403"/>
      <c r="BH5" s="184"/>
      <c r="BI5" s="184"/>
      <c r="BJ5" s="184"/>
      <c r="BK5" s="403" t="s">
        <v>56</v>
      </c>
      <c r="BL5" s="403"/>
      <c r="BM5" s="403"/>
      <c r="BN5" s="403"/>
      <c r="BO5" s="403"/>
      <c r="BP5" s="403"/>
      <c r="BQ5" s="403"/>
      <c r="BR5" s="403"/>
    </row>
    <row r="6" spans="3:74" ht="15" customHeight="1" thickBot="1" x14ac:dyDescent="0.25">
      <c r="C6" s="2"/>
      <c r="D6" s="2"/>
      <c r="E6" s="2"/>
      <c r="F6" s="2"/>
      <c r="I6" s="1"/>
      <c r="J6" s="1"/>
      <c r="K6" s="1"/>
      <c r="L6" s="1"/>
      <c r="M6" s="2"/>
      <c r="N6" s="2"/>
      <c r="AA6" s="172"/>
      <c r="AB6" s="172"/>
      <c r="AC6" s="172"/>
      <c r="AD6" s="172"/>
      <c r="AE6" s="172"/>
      <c r="AF6" s="172"/>
      <c r="AG6" s="172"/>
      <c r="AH6" s="172"/>
      <c r="AX6" s="180"/>
      <c r="AY6" s="180"/>
      <c r="BA6" s="176"/>
      <c r="BB6" s="176"/>
      <c r="BC6" s="176"/>
      <c r="BD6" s="176"/>
      <c r="BE6" s="176"/>
      <c r="BF6" s="176"/>
      <c r="BG6" s="176"/>
      <c r="BH6" s="176"/>
      <c r="BI6" s="176"/>
      <c r="BJ6" s="176"/>
      <c r="BK6" s="176"/>
      <c r="BL6" s="176"/>
      <c r="BM6" s="176"/>
      <c r="BN6" s="176"/>
      <c r="BO6" s="176"/>
      <c r="BP6" s="176"/>
      <c r="BQ6" s="176"/>
      <c r="BR6" s="176"/>
      <c r="BS6"/>
      <c r="BT6"/>
      <c r="BU6"/>
      <c r="BV6"/>
    </row>
    <row r="7" spans="3:74" ht="15" customHeight="1" thickBot="1" x14ac:dyDescent="0.25">
      <c r="C7" s="382" t="s">
        <v>24</v>
      </c>
      <c r="D7" s="371" t="s">
        <v>1</v>
      </c>
      <c r="E7" s="371" t="s">
        <v>25</v>
      </c>
      <c r="F7" s="371" t="s">
        <v>2</v>
      </c>
      <c r="I7" s="382" t="s">
        <v>24</v>
      </c>
      <c r="J7" s="371" t="s">
        <v>1</v>
      </c>
      <c r="K7" s="371" t="s">
        <v>25</v>
      </c>
      <c r="L7" s="371" t="s">
        <v>2</v>
      </c>
      <c r="M7" s="2"/>
      <c r="N7" s="2"/>
      <c r="O7" s="382" t="s">
        <v>24</v>
      </c>
      <c r="P7" s="371" t="s">
        <v>1</v>
      </c>
      <c r="Q7" s="371" t="s">
        <v>25</v>
      </c>
      <c r="R7" s="371" t="s">
        <v>2</v>
      </c>
      <c r="U7" s="382" t="s">
        <v>24</v>
      </c>
      <c r="V7" s="371" t="s">
        <v>1</v>
      </c>
      <c r="W7" s="371" t="s">
        <v>25</v>
      </c>
      <c r="X7" s="371" t="s">
        <v>2</v>
      </c>
      <c r="AA7" s="378" t="s">
        <v>24</v>
      </c>
      <c r="AB7" s="401" t="s">
        <v>1</v>
      </c>
      <c r="AC7" s="384" t="s">
        <v>35</v>
      </c>
      <c r="AD7" s="385"/>
      <c r="AE7" s="385"/>
      <c r="AF7" s="385"/>
      <c r="AG7" s="386"/>
      <c r="AH7" s="14" t="s">
        <v>6</v>
      </c>
      <c r="AK7" s="393" t="s">
        <v>82</v>
      </c>
      <c r="AL7" s="395" t="s">
        <v>1</v>
      </c>
      <c r="AM7" s="396"/>
      <c r="AN7" s="353"/>
      <c r="AQ7" s="382" t="s">
        <v>24</v>
      </c>
      <c r="AR7" s="371" t="s">
        <v>1</v>
      </c>
      <c r="AS7" s="387" t="s">
        <v>38</v>
      </c>
      <c r="AT7" s="388"/>
      <c r="AU7" s="387" t="s">
        <v>40</v>
      </c>
      <c r="AV7" s="388"/>
      <c r="AW7" s="13" t="s">
        <v>6</v>
      </c>
      <c r="AX7" s="181"/>
      <c r="AY7" s="181"/>
      <c r="BA7" s="382" t="s">
        <v>24</v>
      </c>
      <c r="BB7" s="371" t="s">
        <v>1</v>
      </c>
      <c r="BC7" s="387" t="s">
        <v>38</v>
      </c>
      <c r="BD7" s="388"/>
      <c r="BE7" s="387" t="s">
        <v>40</v>
      </c>
      <c r="BF7" s="388"/>
      <c r="BG7" s="13" t="s">
        <v>6</v>
      </c>
      <c r="BH7"/>
      <c r="BI7"/>
      <c r="BJ7"/>
      <c r="BK7" s="382" t="s">
        <v>24</v>
      </c>
      <c r="BL7" s="371" t="s">
        <v>1</v>
      </c>
      <c r="BM7" s="387" t="s">
        <v>38</v>
      </c>
      <c r="BN7" s="388"/>
      <c r="BO7" s="387" t="s">
        <v>40</v>
      </c>
      <c r="BP7" s="388"/>
      <c r="BQ7" s="13" t="s">
        <v>6</v>
      </c>
      <c r="BR7"/>
      <c r="BS7"/>
      <c r="BT7"/>
      <c r="BU7"/>
      <c r="BV7"/>
    </row>
    <row r="8" spans="3:74" ht="26.5" customHeight="1" thickBot="1" x14ac:dyDescent="0.25">
      <c r="C8" s="383"/>
      <c r="D8" s="372"/>
      <c r="E8" s="372"/>
      <c r="F8" s="372"/>
      <c r="I8" s="383"/>
      <c r="J8" s="372"/>
      <c r="K8" s="372"/>
      <c r="L8" s="372"/>
      <c r="M8" s="2"/>
      <c r="N8" s="2"/>
      <c r="O8" s="383"/>
      <c r="P8" s="372"/>
      <c r="Q8" s="372"/>
      <c r="R8" s="372"/>
      <c r="U8" s="383"/>
      <c r="V8" s="372"/>
      <c r="W8" s="372"/>
      <c r="X8" s="372"/>
      <c r="AA8" s="379"/>
      <c r="AB8" s="402"/>
      <c r="AC8" s="129" t="s">
        <v>33</v>
      </c>
      <c r="AD8" s="130" t="s">
        <v>34</v>
      </c>
      <c r="AE8" s="130" t="s">
        <v>36</v>
      </c>
      <c r="AF8" s="367" t="s">
        <v>37</v>
      </c>
      <c r="AG8" s="147" t="s">
        <v>32</v>
      </c>
      <c r="AH8" s="16" t="s">
        <v>2</v>
      </c>
      <c r="AK8" s="394"/>
      <c r="AL8" s="354" t="s">
        <v>83</v>
      </c>
      <c r="AM8" s="355" t="s">
        <v>84</v>
      </c>
      <c r="AN8" s="356" t="s">
        <v>2</v>
      </c>
      <c r="AQ8" s="389"/>
      <c r="AR8" s="380"/>
      <c r="AS8" s="182" t="s">
        <v>39</v>
      </c>
      <c r="AT8" s="147" t="s">
        <v>32</v>
      </c>
      <c r="AU8" s="182" t="s">
        <v>39</v>
      </c>
      <c r="AV8" s="147" t="s">
        <v>32</v>
      </c>
      <c r="AW8" s="15" t="s">
        <v>2</v>
      </c>
      <c r="BA8" s="389"/>
      <c r="BB8" s="380"/>
      <c r="BC8" s="146" t="s">
        <v>39</v>
      </c>
      <c r="BD8" s="147" t="s">
        <v>32</v>
      </c>
      <c r="BE8" s="146" t="s">
        <v>39</v>
      </c>
      <c r="BF8" s="147" t="s">
        <v>32</v>
      </c>
      <c r="BG8" s="15" t="s">
        <v>2</v>
      </c>
      <c r="BH8"/>
      <c r="BI8"/>
      <c r="BJ8"/>
      <c r="BK8" s="389"/>
      <c r="BL8" s="380"/>
      <c r="BM8" s="146" t="s">
        <v>39</v>
      </c>
      <c r="BN8" s="147" t="s">
        <v>32</v>
      </c>
      <c r="BO8" s="146" t="s">
        <v>39</v>
      </c>
      <c r="BP8" s="147" t="s">
        <v>32</v>
      </c>
      <c r="BQ8" s="15" t="s">
        <v>2</v>
      </c>
      <c r="BR8"/>
      <c r="BS8"/>
      <c r="BT8"/>
      <c r="BU8"/>
      <c r="BV8"/>
    </row>
    <row r="9" spans="3:74" ht="15.75" customHeight="1" thickBot="1" x14ac:dyDescent="0.25">
      <c r="C9" s="397" t="s">
        <v>102</v>
      </c>
      <c r="D9" s="4" t="s">
        <v>3</v>
      </c>
      <c r="E9" s="5"/>
      <c r="F9" s="18">
        <f t="shared" ref="F9:F23" si="0">E9</f>
        <v>0</v>
      </c>
      <c r="I9" s="381" t="s">
        <v>102</v>
      </c>
      <c r="J9" s="9" t="s">
        <v>3</v>
      </c>
      <c r="K9" s="58"/>
      <c r="L9" s="63">
        <f t="shared" ref="L9:L23" si="1">K9</f>
        <v>0</v>
      </c>
      <c r="O9" s="397" t="s">
        <v>102</v>
      </c>
      <c r="P9" s="4" t="s">
        <v>3</v>
      </c>
      <c r="Q9" s="5"/>
      <c r="R9" s="18">
        <f t="shared" ref="R9:R23" si="2">Q9</f>
        <v>0</v>
      </c>
      <c r="U9" s="397" t="s">
        <v>102</v>
      </c>
      <c r="V9" s="4" t="s">
        <v>3</v>
      </c>
      <c r="W9" s="5"/>
      <c r="X9" s="18">
        <f t="shared" ref="X9:X23" si="3">W9</f>
        <v>0</v>
      </c>
      <c r="AA9" s="373" t="s">
        <v>102</v>
      </c>
      <c r="AB9" s="4" t="s">
        <v>3</v>
      </c>
      <c r="AC9" s="128"/>
      <c r="AD9" s="126"/>
      <c r="AE9" s="126"/>
      <c r="AF9" s="126"/>
      <c r="AG9" s="368"/>
      <c r="AH9" s="366">
        <f>+AC9+AD9+AE9+AF9+AG9</f>
        <v>0</v>
      </c>
      <c r="AK9" s="357"/>
      <c r="AL9" s="358"/>
      <c r="AM9" s="126"/>
      <c r="AN9" s="127">
        <f t="shared" ref="AN9:AN25" si="4">SUM(AL9:AM9)</f>
        <v>0</v>
      </c>
      <c r="AQ9" s="373"/>
      <c r="AR9" s="54" t="s">
        <v>3</v>
      </c>
      <c r="AS9" s="31"/>
      <c r="AT9" s="32"/>
      <c r="AU9" s="31"/>
      <c r="AV9" s="32"/>
      <c r="AW9" s="31">
        <f>SUM(AS9:AV9)</f>
        <v>0</v>
      </c>
      <c r="BA9" s="373"/>
      <c r="BB9" s="54" t="s">
        <v>3</v>
      </c>
      <c r="BC9" s="31"/>
      <c r="BD9" s="32"/>
      <c r="BE9" s="31"/>
      <c r="BF9" s="32"/>
      <c r="BG9" s="31">
        <f>SUM(BC9:BF9)</f>
        <v>0</v>
      </c>
      <c r="BH9"/>
      <c r="BI9"/>
      <c r="BJ9"/>
      <c r="BK9" s="373"/>
      <c r="BL9" s="54" t="s">
        <v>3</v>
      </c>
      <c r="BM9" s="31"/>
      <c r="BN9" s="32"/>
      <c r="BO9" s="31"/>
      <c r="BP9" s="32"/>
      <c r="BQ9" s="31">
        <f>SUM(BM9:BP9)</f>
        <v>0</v>
      </c>
      <c r="BR9"/>
      <c r="BS9"/>
      <c r="BT9"/>
      <c r="BU9"/>
      <c r="BV9"/>
    </row>
    <row r="10" spans="3:74" ht="16" thickBot="1" x14ac:dyDescent="0.25">
      <c r="C10" s="381"/>
      <c r="D10" s="6" t="s">
        <v>4</v>
      </c>
      <c r="E10" s="7"/>
      <c r="F10" s="19">
        <f t="shared" si="0"/>
        <v>0</v>
      </c>
      <c r="I10" s="381"/>
      <c r="J10" s="6" t="s">
        <v>4</v>
      </c>
      <c r="K10" s="62"/>
      <c r="L10" s="60">
        <f t="shared" si="1"/>
        <v>0</v>
      </c>
      <c r="O10" s="381"/>
      <c r="P10" s="6" t="s">
        <v>4</v>
      </c>
      <c r="Q10" s="7"/>
      <c r="R10" s="19">
        <f t="shared" si="2"/>
        <v>0</v>
      </c>
      <c r="U10" s="381"/>
      <c r="V10" s="6" t="s">
        <v>4</v>
      </c>
      <c r="W10" s="7"/>
      <c r="X10" s="19">
        <f t="shared" si="3"/>
        <v>0</v>
      </c>
      <c r="AA10" s="374"/>
      <c r="AB10" s="6" t="s">
        <v>4</v>
      </c>
      <c r="AC10" s="128"/>
      <c r="AD10" s="126"/>
      <c r="AE10" s="126"/>
      <c r="AF10" s="126"/>
      <c r="AG10" s="368"/>
      <c r="AH10" s="369">
        <f>+AC10+AD10+AE10+AF10+AG10</f>
        <v>0</v>
      </c>
      <c r="AK10" s="79"/>
      <c r="AL10" s="359"/>
      <c r="AM10" s="360"/>
      <c r="AN10" s="127">
        <f t="shared" si="4"/>
        <v>0</v>
      </c>
      <c r="AQ10" s="374"/>
      <c r="AR10" s="55" t="s">
        <v>4</v>
      </c>
      <c r="AS10" s="37"/>
      <c r="AT10" s="70"/>
      <c r="AU10" s="37"/>
      <c r="AV10" s="70"/>
      <c r="AW10" s="31">
        <f>SUM(AS10:AV10)</f>
        <v>0</v>
      </c>
      <c r="BA10" s="374"/>
      <c r="BB10" s="55" t="s">
        <v>4</v>
      </c>
      <c r="BC10" s="37"/>
      <c r="BD10" s="70"/>
      <c r="BE10" s="37"/>
      <c r="BF10" s="70"/>
      <c r="BG10" s="31">
        <f>SUM(BC10:BF10)</f>
        <v>0</v>
      </c>
      <c r="BH10"/>
      <c r="BI10"/>
      <c r="BJ10"/>
      <c r="BK10" s="374"/>
      <c r="BL10" s="55" t="s">
        <v>4</v>
      </c>
      <c r="BM10" s="37"/>
      <c r="BN10" s="70"/>
      <c r="BO10" s="37"/>
      <c r="BP10" s="70"/>
      <c r="BQ10" s="31">
        <f>SUM(BM10:BP10)</f>
        <v>0</v>
      </c>
      <c r="BR10"/>
      <c r="BS10"/>
      <c r="BT10"/>
      <c r="BU10"/>
      <c r="BV10"/>
    </row>
    <row r="11" spans="3:74" ht="16" thickBot="1" x14ac:dyDescent="0.25">
      <c r="C11" s="381"/>
      <c r="D11" s="8" t="s">
        <v>5</v>
      </c>
      <c r="E11" s="20">
        <f>E9+E10</f>
        <v>0</v>
      </c>
      <c r="F11" s="21">
        <f t="shared" si="0"/>
        <v>0</v>
      </c>
      <c r="I11" s="381"/>
      <c r="J11" s="8" t="s">
        <v>5</v>
      </c>
      <c r="K11" s="64">
        <f>K9+K10</f>
        <v>0</v>
      </c>
      <c r="L11" s="65">
        <f t="shared" si="1"/>
        <v>0</v>
      </c>
      <c r="O11" s="381"/>
      <c r="P11" s="8" t="s">
        <v>5</v>
      </c>
      <c r="Q11" s="20">
        <f>Q9+Q10</f>
        <v>0</v>
      </c>
      <c r="R11" s="21">
        <f t="shared" si="2"/>
        <v>0</v>
      </c>
      <c r="U11" s="381"/>
      <c r="V11" s="8" t="s">
        <v>5</v>
      </c>
      <c r="W11" s="20">
        <f>W9+W10</f>
        <v>0</v>
      </c>
      <c r="X11" s="21">
        <f t="shared" si="3"/>
        <v>0</v>
      </c>
      <c r="AA11" s="375"/>
      <c r="AB11" s="11" t="s">
        <v>5</v>
      </c>
      <c r="AC11" s="129">
        <f t="shared" ref="AC11:AH11" si="5">AC9+AC10</f>
        <v>0</v>
      </c>
      <c r="AD11" s="130">
        <f t="shared" si="5"/>
        <v>0</v>
      </c>
      <c r="AE11" s="130">
        <f t="shared" si="5"/>
        <v>0</v>
      </c>
      <c r="AF11" s="130">
        <f t="shared" si="5"/>
        <v>0</v>
      </c>
      <c r="AG11" s="368">
        <f t="shared" si="5"/>
        <v>0</v>
      </c>
      <c r="AH11" s="370">
        <f t="shared" si="5"/>
        <v>0</v>
      </c>
      <c r="AK11" s="79"/>
      <c r="AL11" s="359"/>
      <c r="AM11" s="360"/>
      <c r="AN11" s="127">
        <f t="shared" si="4"/>
        <v>0</v>
      </c>
      <c r="AQ11" s="375"/>
      <c r="AR11" s="56" t="s">
        <v>5</v>
      </c>
      <c r="AS11" s="117">
        <f>AS10+AS9</f>
        <v>0</v>
      </c>
      <c r="AT11" s="118">
        <f>AT10+AT9</f>
        <v>0</v>
      </c>
      <c r="AU11" s="117">
        <f>AU10+AU9</f>
        <v>0</v>
      </c>
      <c r="AV11" s="117">
        <f>AV10+AV9</f>
        <v>0</v>
      </c>
      <c r="AW11" s="31">
        <f>SUM(AS11:AV11)</f>
        <v>0</v>
      </c>
      <c r="BA11" s="375"/>
      <c r="BB11" s="56" t="s">
        <v>5</v>
      </c>
      <c r="BC11" s="117">
        <f>BC10+BC9</f>
        <v>0</v>
      </c>
      <c r="BD11" s="118">
        <f>BD10+BD9</f>
        <v>0</v>
      </c>
      <c r="BE11" s="117">
        <f>BE10+BE9</f>
        <v>0</v>
      </c>
      <c r="BF11" s="117">
        <f>BF10+BF9</f>
        <v>0</v>
      </c>
      <c r="BG11" s="31">
        <f>SUM(BC11:BF11)</f>
        <v>0</v>
      </c>
      <c r="BH11"/>
      <c r="BI11"/>
      <c r="BJ11"/>
      <c r="BK11" s="375"/>
      <c r="BL11" s="56" t="s">
        <v>5</v>
      </c>
      <c r="BM11" s="117">
        <f>BM10+BM9</f>
        <v>0</v>
      </c>
      <c r="BN11" s="118">
        <f>BN10+BN9</f>
        <v>0</v>
      </c>
      <c r="BO11" s="117">
        <f>BO10+BO9</f>
        <v>0</v>
      </c>
      <c r="BP11" s="117">
        <f>BP10+BP9</f>
        <v>0</v>
      </c>
      <c r="BQ11" s="31">
        <f>SUM(BM11:BP11)</f>
        <v>0</v>
      </c>
      <c r="BR11"/>
      <c r="BS11"/>
      <c r="BT11"/>
      <c r="BU11"/>
      <c r="BV11"/>
    </row>
    <row r="12" spans="3:74" ht="16" thickBot="1" x14ac:dyDescent="0.25">
      <c r="C12" s="373" t="s">
        <v>103</v>
      </c>
      <c r="D12" s="54" t="s">
        <v>3</v>
      </c>
      <c r="E12" s="51"/>
      <c r="F12" s="48"/>
      <c r="I12" s="390" t="s">
        <v>103</v>
      </c>
      <c r="J12" s="54" t="s">
        <v>3</v>
      </c>
      <c r="K12" s="24"/>
      <c r="L12" s="59"/>
      <c r="O12" s="373" t="s">
        <v>103</v>
      </c>
      <c r="P12" s="54" t="s">
        <v>3</v>
      </c>
      <c r="Q12" s="51">
        <v>195</v>
      </c>
      <c r="R12" s="48">
        <f t="shared" si="2"/>
        <v>195</v>
      </c>
      <c r="U12" s="373" t="s">
        <v>103</v>
      </c>
      <c r="V12" s="54" t="s">
        <v>3</v>
      </c>
      <c r="W12" s="51">
        <v>48</v>
      </c>
      <c r="X12" s="48">
        <f t="shared" si="3"/>
        <v>48</v>
      </c>
      <c r="AA12" s="374" t="s">
        <v>103</v>
      </c>
      <c r="AB12" s="9" t="s">
        <v>3</v>
      </c>
      <c r="AC12" s="131">
        <v>48</v>
      </c>
      <c r="AD12" s="132">
        <v>65</v>
      </c>
      <c r="AE12" s="132">
        <v>44</v>
      </c>
      <c r="AF12" s="132">
        <v>26</v>
      </c>
      <c r="AG12" s="133"/>
      <c r="AH12" s="366">
        <f>+AC12+AD12+AE12+AF12+AG12</f>
        <v>183</v>
      </c>
      <c r="AK12" s="79"/>
      <c r="AL12" s="359"/>
      <c r="AM12" s="360"/>
      <c r="AN12" s="127">
        <f t="shared" si="4"/>
        <v>0</v>
      </c>
      <c r="AQ12" s="374"/>
      <c r="AR12" s="71" t="s">
        <v>3</v>
      </c>
      <c r="AS12" s="34"/>
      <c r="AT12" s="69"/>
      <c r="AU12" s="34"/>
      <c r="AV12" s="34"/>
      <c r="AW12" s="31">
        <f>SUM(AS12:AV12)</f>
        <v>0</v>
      </c>
      <c r="BA12" s="374"/>
      <c r="BB12" s="71" t="s">
        <v>3</v>
      </c>
      <c r="BC12" s="34"/>
      <c r="BD12" s="69"/>
      <c r="BE12" s="34"/>
      <c r="BF12" s="34"/>
      <c r="BG12" s="31">
        <f>SUM(BC12:BF12)</f>
        <v>0</v>
      </c>
      <c r="BH12"/>
      <c r="BI12"/>
      <c r="BJ12"/>
      <c r="BK12" s="374"/>
      <c r="BL12" s="71" t="s">
        <v>3</v>
      </c>
      <c r="BM12" s="34"/>
      <c r="BN12" s="69"/>
      <c r="BO12" s="34"/>
      <c r="BP12" s="34"/>
      <c r="BQ12" s="31">
        <f>SUM(BM12:BP12)</f>
        <v>0</v>
      </c>
      <c r="BR12"/>
      <c r="BS12"/>
      <c r="BT12"/>
      <c r="BU12"/>
      <c r="BV12"/>
    </row>
    <row r="13" spans="3:74" ht="16" thickBot="1" x14ac:dyDescent="0.25">
      <c r="C13" s="374"/>
      <c r="D13" s="55" t="s">
        <v>4</v>
      </c>
      <c r="E13" s="52"/>
      <c r="F13" s="49"/>
      <c r="I13" s="391"/>
      <c r="J13" s="55" t="s">
        <v>4</v>
      </c>
      <c r="K13" s="62"/>
      <c r="L13" s="60"/>
      <c r="O13" s="374"/>
      <c r="P13" s="55" t="s">
        <v>4</v>
      </c>
      <c r="Q13" s="52">
        <v>182</v>
      </c>
      <c r="R13" s="49">
        <f t="shared" si="2"/>
        <v>182</v>
      </c>
      <c r="U13" s="374"/>
      <c r="V13" s="55" t="s">
        <v>4</v>
      </c>
      <c r="W13" s="52">
        <v>73</v>
      </c>
      <c r="X13" s="49">
        <f t="shared" si="3"/>
        <v>73</v>
      </c>
      <c r="AA13" s="374"/>
      <c r="AB13" s="6" t="s">
        <v>4</v>
      </c>
      <c r="AC13" s="131">
        <v>73</v>
      </c>
      <c r="AD13" s="132">
        <v>100</v>
      </c>
      <c r="AE13" s="132">
        <v>51</v>
      </c>
      <c r="AF13" s="132">
        <v>67</v>
      </c>
      <c r="AG13" s="133"/>
      <c r="AH13" s="369">
        <f>+AC13+AD13+AE13+AF13+AG13</f>
        <v>291</v>
      </c>
      <c r="AK13" s="79"/>
      <c r="AL13" s="359"/>
      <c r="AM13" s="360"/>
      <c r="AN13" s="127">
        <f t="shared" si="4"/>
        <v>0</v>
      </c>
      <c r="AQ13" s="374"/>
      <c r="AR13" s="55" t="s">
        <v>4</v>
      </c>
      <c r="AS13" s="37"/>
      <c r="AT13" s="70"/>
      <c r="AU13" s="37"/>
      <c r="AV13" s="37"/>
      <c r="AW13" s="116">
        <f>SUM(AS13:AV13)</f>
        <v>0</v>
      </c>
      <c r="BA13" s="374"/>
      <c r="BB13" s="55" t="s">
        <v>4</v>
      </c>
      <c r="BC13" s="37"/>
      <c r="BD13" s="70"/>
      <c r="BE13" s="37"/>
      <c r="BF13" s="37"/>
      <c r="BG13" s="116">
        <f>SUM(BC13:BF13)</f>
        <v>0</v>
      </c>
      <c r="BH13"/>
      <c r="BI13"/>
      <c r="BJ13"/>
      <c r="BK13" s="374"/>
      <c r="BL13" s="55" t="s">
        <v>4</v>
      </c>
      <c r="BM13" s="37"/>
      <c r="BN13" s="70"/>
      <c r="BO13" s="37"/>
      <c r="BP13" s="37"/>
      <c r="BQ13" s="116">
        <f>SUM(BM13:BP13)</f>
        <v>0</v>
      </c>
      <c r="BR13"/>
      <c r="BS13"/>
      <c r="BT13"/>
      <c r="BU13"/>
      <c r="BV13"/>
    </row>
    <row r="14" spans="3:74" ht="17" thickBot="1" x14ac:dyDescent="0.25">
      <c r="C14" s="375"/>
      <c r="D14" s="56" t="s">
        <v>5</v>
      </c>
      <c r="E14" s="53">
        <f>E12+E13</f>
        <v>0</v>
      </c>
      <c r="F14" s="50">
        <f t="shared" si="0"/>
        <v>0</v>
      </c>
      <c r="I14" s="392"/>
      <c r="J14" s="56" t="s">
        <v>5</v>
      </c>
      <c r="K14" s="25">
        <f>K12+K13</f>
        <v>0</v>
      </c>
      <c r="L14" s="61">
        <f t="shared" si="1"/>
        <v>0</v>
      </c>
      <c r="O14" s="375"/>
      <c r="P14" s="56" t="s">
        <v>5</v>
      </c>
      <c r="Q14" s="53">
        <f>Q12+Q13</f>
        <v>377</v>
      </c>
      <c r="R14" s="50">
        <f t="shared" si="2"/>
        <v>377</v>
      </c>
      <c r="U14" s="375"/>
      <c r="V14" s="56" t="s">
        <v>5</v>
      </c>
      <c r="W14" s="53">
        <f>W12+W13</f>
        <v>121</v>
      </c>
      <c r="X14" s="50">
        <f t="shared" si="3"/>
        <v>121</v>
      </c>
      <c r="AA14" s="374"/>
      <c r="AB14" s="11" t="s">
        <v>5</v>
      </c>
      <c r="AC14" s="134">
        <f t="shared" ref="AC14:AH14" si="6">AC12+AC13</f>
        <v>121</v>
      </c>
      <c r="AD14" s="135">
        <f t="shared" si="6"/>
        <v>165</v>
      </c>
      <c r="AE14" s="135">
        <f t="shared" si="6"/>
        <v>95</v>
      </c>
      <c r="AF14" s="135">
        <f t="shared" si="6"/>
        <v>93</v>
      </c>
      <c r="AG14" s="133">
        <f t="shared" si="6"/>
        <v>0</v>
      </c>
      <c r="AH14" s="370">
        <f t="shared" si="6"/>
        <v>474</v>
      </c>
      <c r="AK14" s="357"/>
      <c r="AL14" s="358"/>
      <c r="AM14" s="126"/>
      <c r="AN14" s="127">
        <f t="shared" si="4"/>
        <v>0</v>
      </c>
      <c r="AQ14" s="374"/>
      <c r="AR14" s="56" t="s">
        <v>5</v>
      </c>
      <c r="AS14" s="117">
        <f>AS13+AS12</f>
        <v>0</v>
      </c>
      <c r="AT14" s="118">
        <f>AT13+AT12</f>
        <v>0</v>
      </c>
      <c r="AU14" s="117">
        <f>AU13+AU12</f>
        <v>0</v>
      </c>
      <c r="AV14" s="117">
        <f>AV13+AV12</f>
        <v>0</v>
      </c>
      <c r="AW14" s="117">
        <f>AW13+AW12</f>
        <v>0</v>
      </c>
      <c r="BA14" s="374"/>
      <c r="BB14" s="56" t="s">
        <v>5</v>
      </c>
      <c r="BC14" s="117">
        <f>BC13+BC12</f>
        <v>0</v>
      </c>
      <c r="BD14" s="118">
        <f>BD13+BD12</f>
        <v>0</v>
      </c>
      <c r="BE14" s="117">
        <f>BE13+BE12</f>
        <v>0</v>
      </c>
      <c r="BF14" s="117">
        <f>BF13+BF12</f>
        <v>0</v>
      </c>
      <c r="BG14" s="117">
        <f>BG13+BG12</f>
        <v>0</v>
      </c>
      <c r="BH14"/>
      <c r="BI14"/>
      <c r="BJ14"/>
      <c r="BK14" s="374"/>
      <c r="BL14" s="56" t="s">
        <v>5</v>
      </c>
      <c r="BM14" s="117">
        <f>BM13+BM12</f>
        <v>0</v>
      </c>
      <c r="BN14" s="118">
        <f>BN13+BN12</f>
        <v>0</v>
      </c>
      <c r="BO14" s="117">
        <f>BO13+BO12</f>
        <v>0</v>
      </c>
      <c r="BP14" s="117">
        <f>BP13+BP12</f>
        <v>0</v>
      </c>
      <c r="BQ14" s="117">
        <f>BQ13+BQ12</f>
        <v>0</v>
      </c>
      <c r="BR14"/>
      <c r="BS14"/>
      <c r="BT14"/>
      <c r="BU14"/>
      <c r="BV14"/>
    </row>
    <row r="15" spans="3:74" ht="16" thickBot="1" x14ac:dyDescent="0.25">
      <c r="C15" s="381" t="s">
        <v>104</v>
      </c>
      <c r="D15" s="4" t="s">
        <v>3</v>
      </c>
      <c r="E15" s="5"/>
      <c r="F15" s="18"/>
      <c r="I15" s="390" t="s">
        <v>104</v>
      </c>
      <c r="J15" s="9" t="s">
        <v>3</v>
      </c>
      <c r="K15" s="24"/>
      <c r="L15" s="59"/>
      <c r="O15" s="381" t="s">
        <v>104</v>
      </c>
      <c r="P15" s="9" t="s">
        <v>3</v>
      </c>
      <c r="Q15" s="10">
        <v>425</v>
      </c>
      <c r="R15" s="22">
        <f t="shared" si="2"/>
        <v>425</v>
      </c>
      <c r="U15" s="381" t="s">
        <v>104</v>
      </c>
      <c r="V15" s="9" t="s">
        <v>3</v>
      </c>
      <c r="W15" s="10">
        <v>124</v>
      </c>
      <c r="X15" s="22">
        <f t="shared" si="3"/>
        <v>124</v>
      </c>
      <c r="AA15" s="373" t="s">
        <v>104</v>
      </c>
      <c r="AB15" s="9" t="s">
        <v>3</v>
      </c>
      <c r="AC15" s="128">
        <v>124</v>
      </c>
      <c r="AD15" s="126">
        <v>133</v>
      </c>
      <c r="AE15" s="126">
        <v>117</v>
      </c>
      <c r="AF15" s="126">
        <v>130</v>
      </c>
      <c r="AG15" s="133"/>
      <c r="AH15" s="366">
        <f>+AC15+AD15+AE15+AF15+AG15</f>
        <v>504</v>
      </c>
      <c r="AK15" s="79"/>
      <c r="AL15" s="359"/>
      <c r="AM15" s="360"/>
      <c r="AN15" s="127">
        <f t="shared" si="4"/>
        <v>0</v>
      </c>
      <c r="AQ15" s="373"/>
      <c r="AR15" s="71" t="s">
        <v>3</v>
      </c>
      <c r="AS15" s="31"/>
      <c r="AT15" s="32"/>
      <c r="AU15" s="31"/>
      <c r="AV15" s="34"/>
      <c r="AW15" s="31">
        <f>SUM(AS15:AV15)</f>
        <v>0</v>
      </c>
      <c r="BA15" s="373"/>
      <c r="BB15" s="71" t="s">
        <v>3</v>
      </c>
      <c r="BC15" s="31"/>
      <c r="BD15" s="32"/>
      <c r="BE15" s="31"/>
      <c r="BF15" s="34"/>
      <c r="BG15" s="31">
        <f>SUM(BC15:BF15)</f>
        <v>0</v>
      </c>
      <c r="BH15"/>
      <c r="BI15"/>
      <c r="BJ15"/>
      <c r="BK15" s="373"/>
      <c r="BL15" s="71" t="s">
        <v>3</v>
      </c>
      <c r="BM15" s="31"/>
      <c r="BN15" s="32"/>
      <c r="BO15" s="31"/>
      <c r="BP15" s="34"/>
      <c r="BQ15" s="31">
        <f>SUM(BM15:BP15)</f>
        <v>0</v>
      </c>
      <c r="BR15"/>
      <c r="BS15"/>
      <c r="BT15"/>
      <c r="BU15"/>
      <c r="BV15"/>
    </row>
    <row r="16" spans="3:74" ht="16" thickBot="1" x14ac:dyDescent="0.25">
      <c r="C16" s="381"/>
      <c r="D16" s="6" t="s">
        <v>4</v>
      </c>
      <c r="E16" s="7"/>
      <c r="F16" s="19"/>
      <c r="I16" s="391"/>
      <c r="J16" s="6" t="s">
        <v>4</v>
      </c>
      <c r="K16" s="62"/>
      <c r="L16" s="60"/>
      <c r="O16" s="381"/>
      <c r="P16" s="6" t="s">
        <v>4</v>
      </c>
      <c r="Q16" s="7">
        <v>338</v>
      </c>
      <c r="R16" s="19">
        <f t="shared" si="2"/>
        <v>338</v>
      </c>
      <c r="U16" s="381"/>
      <c r="V16" s="6" t="s">
        <v>4</v>
      </c>
      <c r="W16" s="7">
        <v>132</v>
      </c>
      <c r="X16" s="19">
        <f t="shared" si="3"/>
        <v>132</v>
      </c>
      <c r="AA16" s="374"/>
      <c r="AB16" s="6" t="s">
        <v>4</v>
      </c>
      <c r="AC16" s="128">
        <v>132</v>
      </c>
      <c r="AD16" s="126">
        <v>91</v>
      </c>
      <c r="AE16" s="126">
        <v>75</v>
      </c>
      <c r="AF16" s="126">
        <v>82</v>
      </c>
      <c r="AG16" s="133"/>
      <c r="AH16" s="369">
        <f>+AC16+AD16+AE16+AF16+AG16</f>
        <v>380</v>
      </c>
      <c r="AK16" s="79"/>
      <c r="AL16" s="359"/>
      <c r="AM16" s="360"/>
      <c r="AN16" s="127">
        <f t="shared" si="4"/>
        <v>0</v>
      </c>
      <c r="AQ16" s="374"/>
      <c r="AR16" s="55" t="s">
        <v>4</v>
      </c>
      <c r="AS16" s="37"/>
      <c r="AT16" s="70"/>
      <c r="AU16" s="37"/>
      <c r="AV16" s="37"/>
      <c r="AW16" s="116">
        <f>SUM(AS16:AV16)</f>
        <v>0</v>
      </c>
      <c r="BA16" s="374"/>
      <c r="BB16" s="55" t="s">
        <v>4</v>
      </c>
      <c r="BC16" s="37"/>
      <c r="BD16" s="70"/>
      <c r="BE16" s="37"/>
      <c r="BF16" s="37"/>
      <c r="BG16" s="116">
        <f>SUM(BC16:BF16)</f>
        <v>0</v>
      </c>
      <c r="BH16"/>
      <c r="BI16"/>
      <c r="BJ16"/>
      <c r="BK16" s="374"/>
      <c r="BL16" s="55" t="s">
        <v>4</v>
      </c>
      <c r="BM16" s="37"/>
      <c r="BN16" s="70"/>
      <c r="BO16" s="37"/>
      <c r="BP16" s="37"/>
      <c r="BQ16" s="116">
        <f>SUM(BM16:BP16)</f>
        <v>0</v>
      </c>
      <c r="BR16"/>
      <c r="BS16"/>
      <c r="BT16"/>
      <c r="BU16"/>
      <c r="BV16"/>
    </row>
    <row r="17" spans="3:74" ht="16" thickBot="1" x14ac:dyDescent="0.25">
      <c r="C17" s="381"/>
      <c r="D17" s="11" t="s">
        <v>5</v>
      </c>
      <c r="E17" s="23">
        <f>E15+E16</f>
        <v>0</v>
      </c>
      <c r="F17" s="167">
        <f t="shared" si="0"/>
        <v>0</v>
      </c>
      <c r="I17" s="392"/>
      <c r="J17" s="8" t="s">
        <v>5</v>
      </c>
      <c r="K17" s="25">
        <f>K15+K16</f>
        <v>0</v>
      </c>
      <c r="L17" s="61">
        <f t="shared" si="1"/>
        <v>0</v>
      </c>
      <c r="O17" s="381"/>
      <c r="P17" s="8" t="s">
        <v>5</v>
      </c>
      <c r="Q17" s="20">
        <f>Q15+Q16</f>
        <v>763</v>
      </c>
      <c r="R17" s="21">
        <f t="shared" si="2"/>
        <v>763</v>
      </c>
      <c r="U17" s="381"/>
      <c r="V17" s="8" t="s">
        <v>5</v>
      </c>
      <c r="W17" s="20">
        <f>W15+W16</f>
        <v>256</v>
      </c>
      <c r="X17" s="21">
        <f t="shared" si="3"/>
        <v>256</v>
      </c>
      <c r="AA17" s="375"/>
      <c r="AB17" s="11" t="s">
        <v>5</v>
      </c>
      <c r="AC17" s="134">
        <f t="shared" ref="AC17:AH17" si="7">AC15+AC16</f>
        <v>256</v>
      </c>
      <c r="AD17" s="135">
        <f t="shared" si="7"/>
        <v>224</v>
      </c>
      <c r="AE17" s="135">
        <f t="shared" si="7"/>
        <v>192</v>
      </c>
      <c r="AF17" s="135">
        <f t="shared" si="7"/>
        <v>212</v>
      </c>
      <c r="AG17" s="133">
        <f t="shared" si="7"/>
        <v>0</v>
      </c>
      <c r="AH17" s="370">
        <f t="shared" si="7"/>
        <v>884</v>
      </c>
      <c r="AK17" s="79"/>
      <c r="AL17" s="359"/>
      <c r="AM17" s="360"/>
      <c r="AN17" s="127">
        <f t="shared" si="4"/>
        <v>0</v>
      </c>
      <c r="AQ17" s="375"/>
      <c r="AR17" s="56" t="s">
        <v>5</v>
      </c>
      <c r="AS17" s="117">
        <f>AS16+AS15</f>
        <v>0</v>
      </c>
      <c r="AT17" s="118">
        <f>AT16+AT15</f>
        <v>0</v>
      </c>
      <c r="AU17" s="117">
        <f>AU16+AU15</f>
        <v>0</v>
      </c>
      <c r="AV17" s="117">
        <f>AV16+AV15</f>
        <v>0</v>
      </c>
      <c r="AW17" s="117">
        <f>AW16+AW15</f>
        <v>0</v>
      </c>
      <c r="BA17" s="375"/>
      <c r="BB17" s="56" t="s">
        <v>5</v>
      </c>
      <c r="BC17" s="117">
        <f>BC16+BC15</f>
        <v>0</v>
      </c>
      <c r="BD17" s="118">
        <f>BD16+BD15</f>
        <v>0</v>
      </c>
      <c r="BE17" s="117">
        <f>BE16+BE15</f>
        <v>0</v>
      </c>
      <c r="BF17" s="117">
        <f>BF16+BF15</f>
        <v>0</v>
      </c>
      <c r="BG17" s="117">
        <f>BG16+BG15</f>
        <v>0</v>
      </c>
      <c r="BH17"/>
      <c r="BI17"/>
      <c r="BJ17"/>
      <c r="BK17" s="375"/>
      <c r="BL17" s="56" t="s">
        <v>5</v>
      </c>
      <c r="BM17" s="117">
        <f>BM16+BM15</f>
        <v>0</v>
      </c>
      <c r="BN17" s="118">
        <f>BN16+BN15</f>
        <v>0</v>
      </c>
      <c r="BO17" s="117">
        <f>BO16+BO15</f>
        <v>0</v>
      </c>
      <c r="BP17" s="117">
        <f>BP16+BP15</f>
        <v>0</v>
      </c>
      <c r="BQ17" s="117">
        <f>BQ16+BQ15</f>
        <v>0</v>
      </c>
      <c r="BR17"/>
      <c r="BS17"/>
      <c r="BT17"/>
      <c r="BU17"/>
      <c r="BV17"/>
    </row>
    <row r="18" spans="3:74" ht="16" thickBot="1" x14ac:dyDescent="0.25">
      <c r="C18" s="124"/>
      <c r="D18" s="9" t="s">
        <v>3</v>
      </c>
      <c r="E18" s="10"/>
      <c r="F18" s="22">
        <f t="shared" si="0"/>
        <v>0</v>
      </c>
      <c r="I18" s="390"/>
      <c r="J18" s="54" t="s">
        <v>3</v>
      </c>
      <c r="K18" s="24"/>
      <c r="L18" s="59">
        <f t="shared" si="1"/>
        <v>0</v>
      </c>
      <c r="O18" s="397"/>
      <c r="P18" s="4" t="s">
        <v>3</v>
      </c>
      <c r="Q18" s="24"/>
      <c r="R18" s="59">
        <f t="shared" si="2"/>
        <v>0</v>
      </c>
      <c r="U18" s="397"/>
      <c r="V18" s="4" t="s">
        <v>3</v>
      </c>
      <c r="W18" s="24"/>
      <c r="X18" s="59">
        <f t="shared" si="3"/>
        <v>0</v>
      </c>
      <c r="AA18" s="374"/>
      <c r="AB18" s="9" t="s">
        <v>3</v>
      </c>
      <c r="AC18" s="128"/>
      <c r="AD18" s="126"/>
      <c r="AE18" s="126"/>
      <c r="AF18" s="126"/>
      <c r="AG18" s="127"/>
      <c r="AH18" s="366">
        <f>+AC18+AD18+AE18+AF18+AG18</f>
        <v>0</v>
      </c>
      <c r="AK18" s="79"/>
      <c r="AL18" s="359"/>
      <c r="AM18" s="360"/>
      <c r="AN18" s="127">
        <f t="shared" si="4"/>
        <v>0</v>
      </c>
      <c r="AQ18" s="374"/>
      <c r="AR18" s="71" t="s">
        <v>3</v>
      </c>
      <c r="AS18" s="34"/>
      <c r="AT18" s="69"/>
      <c r="AU18" s="34"/>
      <c r="AV18" s="34"/>
      <c r="AW18" s="31">
        <f>SUM(AS18:AV18)</f>
        <v>0</v>
      </c>
      <c r="BA18" s="374"/>
      <c r="BB18" s="71" t="s">
        <v>3</v>
      </c>
      <c r="BC18" s="34"/>
      <c r="BD18" s="69"/>
      <c r="BE18" s="34"/>
      <c r="BF18" s="34"/>
      <c r="BG18" s="31">
        <f>SUM(BC18:BF18)</f>
        <v>0</v>
      </c>
      <c r="BH18"/>
      <c r="BI18"/>
      <c r="BJ18"/>
      <c r="BK18" s="374"/>
      <c r="BL18" s="71" t="s">
        <v>3</v>
      </c>
      <c r="BM18" s="34"/>
      <c r="BN18" s="69"/>
      <c r="BO18" s="34"/>
      <c r="BP18" s="34"/>
      <c r="BQ18" s="31">
        <f>SUM(BM18:BP18)</f>
        <v>0</v>
      </c>
      <c r="BR18"/>
      <c r="BS18"/>
      <c r="BT18"/>
      <c r="BU18"/>
      <c r="BV18"/>
    </row>
    <row r="19" spans="3:74" ht="16" thickBot="1" x14ac:dyDescent="0.25">
      <c r="C19" s="123"/>
      <c r="D19" s="6" t="s">
        <v>4</v>
      </c>
      <c r="E19" s="7"/>
      <c r="F19" s="19">
        <f t="shared" si="0"/>
        <v>0</v>
      </c>
      <c r="I19" s="391"/>
      <c r="J19" s="55" t="s">
        <v>4</v>
      </c>
      <c r="K19" s="62"/>
      <c r="L19" s="60">
        <f t="shared" si="1"/>
        <v>0</v>
      </c>
      <c r="O19" s="381"/>
      <c r="P19" s="6" t="s">
        <v>4</v>
      </c>
      <c r="Q19" s="62"/>
      <c r="R19" s="60">
        <f t="shared" si="2"/>
        <v>0</v>
      </c>
      <c r="U19" s="381"/>
      <c r="V19" s="6" t="s">
        <v>4</v>
      </c>
      <c r="W19" s="62"/>
      <c r="X19" s="60">
        <f t="shared" si="3"/>
        <v>0</v>
      </c>
      <c r="AA19" s="374"/>
      <c r="AB19" s="6" t="s">
        <v>4</v>
      </c>
      <c r="AC19" s="128"/>
      <c r="AD19" s="126"/>
      <c r="AE19" s="126"/>
      <c r="AF19" s="126"/>
      <c r="AG19" s="127"/>
      <c r="AH19" s="369">
        <f>+AC19+AD19+AE19+AF19+AG19</f>
        <v>0</v>
      </c>
      <c r="AK19" s="79"/>
      <c r="AL19" s="359"/>
      <c r="AM19" s="360"/>
      <c r="AN19" s="127">
        <f t="shared" si="4"/>
        <v>0</v>
      </c>
      <c r="AQ19" s="374"/>
      <c r="AR19" s="55" t="s">
        <v>4</v>
      </c>
      <c r="AS19" s="35"/>
      <c r="AT19" s="67"/>
      <c r="AU19" s="35"/>
      <c r="AV19" s="37"/>
      <c r="AW19" s="116">
        <f>SUM(AS19:AV19)</f>
        <v>0</v>
      </c>
      <c r="BA19" s="374"/>
      <c r="BB19" s="55" t="s">
        <v>4</v>
      </c>
      <c r="BC19" s="35"/>
      <c r="BD19" s="67"/>
      <c r="BE19" s="35"/>
      <c r="BF19" s="37"/>
      <c r="BG19" s="116">
        <f>SUM(BC19:BF19)</f>
        <v>0</v>
      </c>
      <c r="BH19"/>
      <c r="BI19"/>
      <c r="BJ19"/>
      <c r="BK19" s="374"/>
      <c r="BL19" s="55" t="s">
        <v>4</v>
      </c>
      <c r="BM19" s="35"/>
      <c r="BN19" s="67"/>
      <c r="BO19" s="35"/>
      <c r="BP19" s="37"/>
      <c r="BQ19" s="116">
        <f>SUM(BM19:BP19)</f>
        <v>0</v>
      </c>
      <c r="BR19"/>
      <c r="BS19"/>
      <c r="BT19"/>
      <c r="BU19"/>
      <c r="BV19"/>
    </row>
    <row r="20" spans="3:74" ht="16" thickBot="1" x14ac:dyDescent="0.25">
      <c r="C20" s="125"/>
      <c r="D20" s="8" t="s">
        <v>5</v>
      </c>
      <c r="E20" s="20">
        <f>E18+E19</f>
        <v>0</v>
      </c>
      <c r="F20" s="21">
        <f t="shared" si="0"/>
        <v>0</v>
      </c>
      <c r="I20" s="392"/>
      <c r="J20" s="56" t="s">
        <v>5</v>
      </c>
      <c r="K20" s="64">
        <f>K18+K19</f>
        <v>0</v>
      </c>
      <c r="L20" s="65">
        <f t="shared" si="1"/>
        <v>0</v>
      </c>
      <c r="O20" s="398"/>
      <c r="P20" s="11" t="s">
        <v>5</v>
      </c>
      <c r="Q20" s="25">
        <f>Q18+Q19</f>
        <v>0</v>
      </c>
      <c r="R20" s="61">
        <f t="shared" si="2"/>
        <v>0</v>
      </c>
      <c r="U20" s="398"/>
      <c r="V20" s="11" t="s">
        <v>5</v>
      </c>
      <c r="W20" s="25">
        <f>W18+W19</f>
        <v>0</v>
      </c>
      <c r="X20" s="61">
        <f t="shared" si="3"/>
        <v>0</v>
      </c>
      <c r="AA20" s="374"/>
      <c r="AB20" s="11" t="s">
        <v>5</v>
      </c>
      <c r="AC20" s="134">
        <f t="shared" ref="AC20:AH20" si="8">AC18+AC19</f>
        <v>0</v>
      </c>
      <c r="AD20" s="135">
        <f t="shared" si="8"/>
        <v>0</v>
      </c>
      <c r="AE20" s="135">
        <f t="shared" si="8"/>
        <v>0</v>
      </c>
      <c r="AF20" s="135">
        <f t="shared" si="8"/>
        <v>0</v>
      </c>
      <c r="AG20" s="133">
        <f t="shared" si="8"/>
        <v>0</v>
      </c>
      <c r="AH20" s="370">
        <f t="shared" si="8"/>
        <v>0</v>
      </c>
      <c r="AK20" s="79"/>
      <c r="AL20" s="359"/>
      <c r="AM20" s="360"/>
      <c r="AN20" s="127">
        <f t="shared" si="4"/>
        <v>0</v>
      </c>
      <c r="AQ20" s="374"/>
      <c r="AR20" s="56" t="s">
        <v>5</v>
      </c>
      <c r="AS20" s="37">
        <f>SUM(AS18:AS19)</f>
        <v>0</v>
      </c>
      <c r="AT20" s="70">
        <f>SUM(AT18:AT19)</f>
        <v>0</v>
      </c>
      <c r="AU20" s="37">
        <f>SUM(AU18:AU19)</f>
        <v>0</v>
      </c>
      <c r="AV20" s="117">
        <f>AV19+AV18</f>
        <v>0</v>
      </c>
      <c r="AW20" s="37">
        <f>SUM(AW18:AW19)</f>
        <v>0</v>
      </c>
      <c r="BA20" s="374"/>
      <c r="BB20" s="56" t="s">
        <v>5</v>
      </c>
      <c r="BC20" s="37">
        <f>SUM(BC18:BC19)</f>
        <v>0</v>
      </c>
      <c r="BD20" s="70">
        <f>SUM(BD18:BD19)</f>
        <v>0</v>
      </c>
      <c r="BE20" s="37">
        <f>SUM(BE18:BE19)</f>
        <v>0</v>
      </c>
      <c r="BF20" s="117">
        <f>BF19+BF18</f>
        <v>0</v>
      </c>
      <c r="BG20" s="37">
        <f>SUM(BG18:BG19)</f>
        <v>0</v>
      </c>
      <c r="BH20"/>
      <c r="BI20"/>
      <c r="BJ20"/>
      <c r="BK20" s="374"/>
      <c r="BL20" s="56" t="s">
        <v>5</v>
      </c>
      <c r="BM20" s="37">
        <f>SUM(BM18:BM19)</f>
        <v>0</v>
      </c>
      <c r="BN20" s="70">
        <f>SUM(BN18:BN19)</f>
        <v>0</v>
      </c>
      <c r="BO20" s="37">
        <f>SUM(BO18:BO19)</f>
        <v>0</v>
      </c>
      <c r="BP20" s="117">
        <f>BP19+BP18</f>
        <v>0</v>
      </c>
      <c r="BQ20" s="37">
        <f>SUM(BQ18:BQ19)</f>
        <v>0</v>
      </c>
      <c r="BR20"/>
      <c r="BS20"/>
      <c r="BT20"/>
      <c r="BU20"/>
      <c r="BV20"/>
    </row>
    <row r="21" spans="3:74" ht="16" thickBot="1" x14ac:dyDescent="0.25">
      <c r="C21" s="397"/>
      <c r="D21" s="4" t="s">
        <v>3</v>
      </c>
      <c r="E21" s="24"/>
      <c r="F21" s="59">
        <f t="shared" si="0"/>
        <v>0</v>
      </c>
      <c r="I21" s="397"/>
      <c r="J21" s="54" t="s">
        <v>3</v>
      </c>
      <c r="K21" s="24"/>
      <c r="L21" s="59">
        <f t="shared" si="1"/>
        <v>0</v>
      </c>
      <c r="O21" s="397"/>
      <c r="P21" s="4" t="s">
        <v>3</v>
      </c>
      <c r="Q21" s="24"/>
      <c r="R21" s="59">
        <f t="shared" si="2"/>
        <v>0</v>
      </c>
      <c r="U21" s="397"/>
      <c r="V21" s="4" t="s">
        <v>3</v>
      </c>
      <c r="W21" s="24"/>
      <c r="X21" s="59">
        <f t="shared" si="3"/>
        <v>0</v>
      </c>
      <c r="AA21" s="373"/>
      <c r="AB21" s="9" t="s">
        <v>3</v>
      </c>
      <c r="AC21" s="128"/>
      <c r="AD21" s="126"/>
      <c r="AE21" s="132"/>
      <c r="AF21" s="126"/>
      <c r="AG21" s="133"/>
      <c r="AH21" s="366">
        <f>+AC21+AD21+AE21+AF21+AG21</f>
        <v>0</v>
      </c>
      <c r="AK21" s="79"/>
      <c r="AL21" s="359"/>
      <c r="AM21" s="360"/>
      <c r="AN21" s="127">
        <f t="shared" si="4"/>
        <v>0</v>
      </c>
      <c r="AQ21" s="373"/>
      <c r="AR21" s="71" t="s">
        <v>3</v>
      </c>
      <c r="AS21" s="31"/>
      <c r="AT21" s="32"/>
      <c r="AU21" s="31"/>
      <c r="AV21" s="34"/>
      <c r="AW21" s="31">
        <f>SUM(AS21:AV21)</f>
        <v>0</v>
      </c>
      <c r="BA21" s="373"/>
      <c r="BB21" s="71" t="s">
        <v>3</v>
      </c>
      <c r="BC21" s="31"/>
      <c r="BD21" s="32"/>
      <c r="BE21" s="31"/>
      <c r="BF21" s="34"/>
      <c r="BG21" s="31">
        <f>SUM(BC21:BF21)</f>
        <v>0</v>
      </c>
      <c r="BH21"/>
      <c r="BI21"/>
      <c r="BJ21"/>
      <c r="BK21" s="373"/>
      <c r="BL21" s="71" t="s">
        <v>3</v>
      </c>
      <c r="BM21" s="31"/>
      <c r="BN21" s="32"/>
      <c r="BO21" s="31"/>
      <c r="BP21" s="34"/>
      <c r="BQ21" s="31">
        <f>SUM(BM21:BP21)</f>
        <v>0</v>
      </c>
      <c r="BR21"/>
      <c r="BS21"/>
      <c r="BT21"/>
      <c r="BU21"/>
      <c r="BV21"/>
    </row>
    <row r="22" spans="3:74" ht="16" thickBot="1" x14ac:dyDescent="0.25">
      <c r="C22" s="381"/>
      <c r="D22" s="6" t="s">
        <v>4</v>
      </c>
      <c r="E22" s="62"/>
      <c r="F22" s="60">
        <f t="shared" si="0"/>
        <v>0</v>
      </c>
      <c r="I22" s="381"/>
      <c r="J22" s="55" t="s">
        <v>4</v>
      </c>
      <c r="K22" s="62"/>
      <c r="L22" s="60">
        <f t="shared" si="1"/>
        <v>0</v>
      </c>
      <c r="O22" s="381"/>
      <c r="P22" s="6" t="s">
        <v>4</v>
      </c>
      <c r="Q22" s="62"/>
      <c r="R22" s="60">
        <f t="shared" si="2"/>
        <v>0</v>
      </c>
      <c r="U22" s="381"/>
      <c r="V22" s="6" t="s">
        <v>4</v>
      </c>
      <c r="W22" s="62"/>
      <c r="X22" s="60">
        <f t="shared" si="3"/>
        <v>0</v>
      </c>
      <c r="AA22" s="374"/>
      <c r="AB22" s="6" t="s">
        <v>4</v>
      </c>
      <c r="AC22" s="128"/>
      <c r="AD22" s="126"/>
      <c r="AE22" s="132"/>
      <c r="AF22" s="126"/>
      <c r="AG22" s="133"/>
      <c r="AH22" s="369">
        <f>+AC22+AD22+AE22+AF22+AG22</f>
        <v>0</v>
      </c>
      <c r="AK22" s="79"/>
      <c r="AL22" s="359"/>
      <c r="AM22" s="360"/>
      <c r="AN22" s="127">
        <f t="shared" si="4"/>
        <v>0</v>
      </c>
      <c r="AQ22" s="374"/>
      <c r="AR22" s="55" t="s">
        <v>4</v>
      </c>
      <c r="AS22" s="35"/>
      <c r="AT22" s="67"/>
      <c r="AU22" s="35"/>
      <c r="AV22" s="37"/>
      <c r="AW22" s="116">
        <f>SUM(AS22:AV22)</f>
        <v>0</v>
      </c>
      <c r="BA22" s="374"/>
      <c r="BB22" s="55" t="s">
        <v>4</v>
      </c>
      <c r="BC22" s="35"/>
      <c r="BD22" s="67"/>
      <c r="BE22" s="35"/>
      <c r="BF22" s="37"/>
      <c r="BG22" s="116">
        <f>SUM(BC22:BF22)</f>
        <v>0</v>
      </c>
      <c r="BH22"/>
      <c r="BI22"/>
      <c r="BJ22"/>
      <c r="BK22" s="374"/>
      <c r="BL22" s="55" t="s">
        <v>4</v>
      </c>
      <c r="BM22" s="35"/>
      <c r="BN22" s="67"/>
      <c r="BO22" s="35"/>
      <c r="BP22" s="37"/>
      <c r="BQ22" s="116">
        <f>SUM(BM22:BP22)</f>
        <v>0</v>
      </c>
      <c r="BR22"/>
      <c r="BS22"/>
      <c r="BT22"/>
      <c r="BU22"/>
      <c r="BV22"/>
    </row>
    <row r="23" spans="3:74" ht="16" thickBot="1" x14ac:dyDescent="0.25">
      <c r="C23" s="398"/>
      <c r="D23" s="11" t="s">
        <v>5</v>
      </c>
      <c r="E23" s="25">
        <f>E21+E22</f>
        <v>0</v>
      </c>
      <c r="F23" s="61">
        <f t="shared" si="0"/>
        <v>0</v>
      </c>
      <c r="I23" s="398"/>
      <c r="J23" s="56" t="s">
        <v>5</v>
      </c>
      <c r="K23" s="25">
        <f>K21+K22</f>
        <v>0</v>
      </c>
      <c r="L23" s="61">
        <f t="shared" si="1"/>
        <v>0</v>
      </c>
      <c r="O23" s="398"/>
      <c r="P23" s="11" t="s">
        <v>5</v>
      </c>
      <c r="Q23" s="25">
        <f>Q21+Q22</f>
        <v>0</v>
      </c>
      <c r="R23" s="61">
        <f t="shared" si="2"/>
        <v>0</v>
      </c>
      <c r="U23" s="398"/>
      <c r="V23" s="11" t="s">
        <v>5</v>
      </c>
      <c r="W23" s="25">
        <f>W21+W22</f>
        <v>0</v>
      </c>
      <c r="X23" s="61">
        <f t="shared" si="3"/>
        <v>0</v>
      </c>
      <c r="AA23" s="375"/>
      <c r="AB23" s="11" t="s">
        <v>5</v>
      </c>
      <c r="AC23" s="169">
        <f t="shared" ref="AC23:AH23" si="9">AC21+AC22</f>
        <v>0</v>
      </c>
      <c r="AD23" s="170">
        <f t="shared" si="9"/>
        <v>0</v>
      </c>
      <c r="AE23" s="170">
        <f t="shared" si="9"/>
        <v>0</v>
      </c>
      <c r="AF23" s="170">
        <f t="shared" si="9"/>
        <v>0</v>
      </c>
      <c r="AG23" s="142">
        <f t="shared" si="9"/>
        <v>0</v>
      </c>
      <c r="AH23" s="370">
        <f t="shared" si="9"/>
        <v>0</v>
      </c>
      <c r="AK23" s="79"/>
      <c r="AL23" s="359"/>
      <c r="AM23" s="360"/>
      <c r="AN23" s="127">
        <f t="shared" si="4"/>
        <v>0</v>
      </c>
      <c r="AQ23" s="375"/>
      <c r="AR23" s="56" t="s">
        <v>5</v>
      </c>
      <c r="AS23" s="66">
        <f>SUM(AS21:AS22)</f>
        <v>0</v>
      </c>
      <c r="AT23" s="68">
        <f>SUM(AT21:AT22)</f>
        <v>0</v>
      </c>
      <c r="AU23" s="66">
        <f>SUM(AU21:AU22)</f>
        <v>0</v>
      </c>
      <c r="AV23" s="117">
        <f>AV22+AV21</f>
        <v>0</v>
      </c>
      <c r="AW23" s="66">
        <f>SUM(AW21:AW22)</f>
        <v>0</v>
      </c>
      <c r="BA23" s="375"/>
      <c r="BB23" s="56" t="s">
        <v>5</v>
      </c>
      <c r="BC23" s="66">
        <f>SUM(BC21:BC22)</f>
        <v>0</v>
      </c>
      <c r="BD23" s="68">
        <f>SUM(BD21:BD22)</f>
        <v>0</v>
      </c>
      <c r="BE23" s="66">
        <f>SUM(BE21:BE22)</f>
        <v>0</v>
      </c>
      <c r="BF23" s="117">
        <f>BF22+BF21</f>
        <v>0</v>
      </c>
      <c r="BG23" s="66">
        <f>SUM(BG21:BG22)</f>
        <v>0</v>
      </c>
      <c r="BH23"/>
      <c r="BI23"/>
      <c r="BJ23"/>
      <c r="BK23" s="375"/>
      <c r="BL23" s="56" t="s">
        <v>5</v>
      </c>
      <c r="BM23" s="66">
        <f>SUM(BM21:BM22)</f>
        <v>0</v>
      </c>
      <c r="BN23" s="68">
        <f>SUM(BN21:BN22)</f>
        <v>0</v>
      </c>
      <c r="BO23" s="66">
        <f>SUM(BO21:BO22)</f>
        <v>0</v>
      </c>
      <c r="BP23" s="117">
        <f>BP22+BP21</f>
        <v>0</v>
      </c>
      <c r="BQ23" s="66">
        <f>SUM(BQ21:BQ22)</f>
        <v>0</v>
      </c>
      <c r="BR23"/>
      <c r="BS23"/>
      <c r="BT23"/>
      <c r="BU23"/>
      <c r="BV23"/>
    </row>
    <row r="24" spans="3:74" ht="15" x14ac:dyDescent="0.2">
      <c r="C24" s="380" t="s">
        <v>2</v>
      </c>
      <c r="D24" s="9" t="s">
        <v>3</v>
      </c>
      <c r="E24" s="168">
        <f t="shared" ref="E24:F26" si="10">E9+E12+E15+E21+E18</f>
        <v>0</v>
      </c>
      <c r="F24" s="24">
        <f t="shared" si="10"/>
        <v>0</v>
      </c>
      <c r="I24" s="380" t="s">
        <v>2</v>
      </c>
      <c r="J24" s="9" t="s">
        <v>3</v>
      </c>
      <c r="K24" s="57">
        <f t="shared" ref="K24:L26" si="11">K9+K12+K15+K18+K21</f>
        <v>0</v>
      </c>
      <c r="L24" s="58">
        <f t="shared" si="11"/>
        <v>0</v>
      </c>
      <c r="O24" s="380" t="s">
        <v>2</v>
      </c>
      <c r="P24" s="9" t="s">
        <v>3</v>
      </c>
      <c r="Q24" s="57">
        <f t="shared" ref="Q24:R26" si="12">Q9+Q12+Q15+Q18+Q21</f>
        <v>620</v>
      </c>
      <c r="R24" s="58">
        <f t="shared" si="12"/>
        <v>620</v>
      </c>
      <c r="U24" s="380" t="s">
        <v>2</v>
      </c>
      <c r="V24" s="9" t="s">
        <v>3</v>
      </c>
      <c r="W24" s="168">
        <f t="shared" ref="W24:X26" si="13">W9+W12+W15+W18+W21</f>
        <v>172</v>
      </c>
      <c r="X24" s="24">
        <f t="shared" si="13"/>
        <v>172</v>
      </c>
      <c r="AA24" s="399" t="s">
        <v>2</v>
      </c>
      <c r="AB24" s="9" t="s">
        <v>3</v>
      </c>
      <c r="AC24" s="143">
        <f t="shared" ref="AC24:AG26" si="14">AC9+AC12+AC15+AC18+AC21</f>
        <v>172</v>
      </c>
      <c r="AD24" s="144">
        <f t="shared" si="14"/>
        <v>198</v>
      </c>
      <c r="AE24" s="144">
        <f t="shared" si="14"/>
        <v>161</v>
      </c>
      <c r="AF24" s="144">
        <f t="shared" si="14"/>
        <v>156</v>
      </c>
      <c r="AG24" s="145">
        <f t="shared" si="14"/>
        <v>0</v>
      </c>
      <c r="AH24" s="366">
        <f>+AC24+AD24+AE24+AF24+AG24</f>
        <v>687</v>
      </c>
      <c r="AK24" s="79"/>
      <c r="AL24" s="359"/>
      <c r="AM24" s="360"/>
      <c r="AN24" s="127">
        <f t="shared" si="4"/>
        <v>0</v>
      </c>
      <c r="AQ24" s="399" t="s">
        <v>2</v>
      </c>
      <c r="AR24" s="71" t="s">
        <v>3</v>
      </c>
      <c r="AS24" s="31">
        <f t="shared" ref="AS24:AW26" si="15">AS21+AS18+AS15+AS12+AS9</f>
        <v>0</v>
      </c>
      <c r="AT24" s="31">
        <f t="shared" si="15"/>
        <v>0</v>
      </c>
      <c r="AU24" s="31">
        <f t="shared" si="15"/>
        <v>0</v>
      </c>
      <c r="AV24" s="31">
        <f t="shared" si="15"/>
        <v>0</v>
      </c>
      <c r="AW24" s="31">
        <f t="shared" si="15"/>
        <v>0</v>
      </c>
      <c r="BA24" s="399" t="s">
        <v>2</v>
      </c>
      <c r="BB24" s="71" t="s">
        <v>3</v>
      </c>
      <c r="BC24" s="31">
        <f t="shared" ref="BC24:BG26" si="16">BC21+BC18+BC15+BC12+BC9</f>
        <v>0</v>
      </c>
      <c r="BD24" s="31">
        <f t="shared" si="16"/>
        <v>0</v>
      </c>
      <c r="BE24" s="31">
        <f t="shared" si="16"/>
        <v>0</v>
      </c>
      <c r="BF24" s="31">
        <f t="shared" si="16"/>
        <v>0</v>
      </c>
      <c r="BG24" s="31">
        <f t="shared" si="16"/>
        <v>0</v>
      </c>
      <c r="BH24"/>
      <c r="BI24"/>
      <c r="BJ24"/>
      <c r="BK24" s="399" t="s">
        <v>2</v>
      </c>
      <c r="BL24" s="71" t="s">
        <v>3</v>
      </c>
      <c r="BM24" s="31">
        <f>BM21+BM18+BM15+BM12+BM9</f>
        <v>0</v>
      </c>
      <c r="BN24" s="31">
        <f>BN21+BN18+BN15+BN12+BN9</f>
        <v>0</v>
      </c>
      <c r="BO24" s="31">
        <f>BO21+BO18+BO15+BO12+BO9</f>
        <v>0</v>
      </c>
      <c r="BP24" s="31">
        <f>BP21+BP18+BP15+BP12+BP9</f>
        <v>0</v>
      </c>
      <c r="BQ24" s="31">
        <f>BQ21+BQ18+BQ15+BQ12+BQ9</f>
        <v>0</v>
      </c>
      <c r="BR24"/>
      <c r="BS24"/>
      <c r="BT24"/>
      <c r="BU24"/>
      <c r="BV24"/>
    </row>
    <row r="25" spans="3:74" ht="16" thickBot="1" x14ac:dyDescent="0.25">
      <c r="C25" s="380"/>
      <c r="D25" s="6" t="s">
        <v>4</v>
      </c>
      <c r="E25" s="57">
        <f t="shared" si="10"/>
        <v>0</v>
      </c>
      <c r="F25" s="58">
        <f t="shared" si="10"/>
        <v>0</v>
      </c>
      <c r="I25" s="380"/>
      <c r="J25" s="6" t="s">
        <v>4</v>
      </c>
      <c r="K25" s="57">
        <f t="shared" si="11"/>
        <v>0</v>
      </c>
      <c r="L25" s="58">
        <f t="shared" si="11"/>
        <v>0</v>
      </c>
      <c r="O25" s="380"/>
      <c r="P25" s="6" t="s">
        <v>4</v>
      </c>
      <c r="Q25" s="57">
        <f t="shared" si="12"/>
        <v>520</v>
      </c>
      <c r="R25" s="58">
        <f t="shared" si="12"/>
        <v>520</v>
      </c>
      <c r="U25" s="380"/>
      <c r="V25" s="6" t="s">
        <v>4</v>
      </c>
      <c r="W25" s="57">
        <f t="shared" si="13"/>
        <v>205</v>
      </c>
      <c r="X25" s="58">
        <f t="shared" si="13"/>
        <v>205</v>
      </c>
      <c r="AA25" s="399"/>
      <c r="AB25" s="6" t="s">
        <v>4</v>
      </c>
      <c r="AC25" s="136">
        <f t="shared" si="14"/>
        <v>205</v>
      </c>
      <c r="AD25" s="137">
        <f t="shared" si="14"/>
        <v>191</v>
      </c>
      <c r="AE25" s="137">
        <f t="shared" si="14"/>
        <v>126</v>
      </c>
      <c r="AF25" s="137">
        <f t="shared" si="14"/>
        <v>149</v>
      </c>
      <c r="AG25" s="138">
        <f t="shared" si="14"/>
        <v>0</v>
      </c>
      <c r="AH25" s="369">
        <f>+AC25+AD25+AE25+AF25+AG25</f>
        <v>671</v>
      </c>
      <c r="AK25" s="79"/>
      <c r="AL25" s="359"/>
      <c r="AM25" s="360"/>
      <c r="AN25" s="127">
        <f t="shared" si="4"/>
        <v>0</v>
      </c>
      <c r="AQ25" s="399"/>
      <c r="AR25" s="55" t="s">
        <v>4</v>
      </c>
      <c r="AS25" s="34">
        <f t="shared" si="15"/>
        <v>0</v>
      </c>
      <c r="AT25" s="34">
        <f t="shared" si="15"/>
        <v>0</v>
      </c>
      <c r="AU25" s="34">
        <f t="shared" si="15"/>
        <v>0</v>
      </c>
      <c r="AV25" s="34">
        <f t="shared" si="15"/>
        <v>0</v>
      </c>
      <c r="AW25" s="34">
        <f t="shared" si="15"/>
        <v>0</v>
      </c>
      <c r="BA25" s="399"/>
      <c r="BB25" s="55" t="s">
        <v>4</v>
      </c>
      <c r="BC25" s="34">
        <f t="shared" si="16"/>
        <v>0</v>
      </c>
      <c r="BD25" s="34">
        <f t="shared" si="16"/>
        <v>0</v>
      </c>
      <c r="BE25" s="34">
        <f t="shared" si="16"/>
        <v>0</v>
      </c>
      <c r="BF25" s="34">
        <f t="shared" si="16"/>
        <v>0</v>
      </c>
      <c r="BG25" s="34">
        <f t="shared" si="16"/>
        <v>0</v>
      </c>
      <c r="BH25"/>
      <c r="BI25"/>
      <c r="BJ25"/>
      <c r="BK25" s="399"/>
      <c r="BL25" s="55" t="s">
        <v>4</v>
      </c>
      <c r="BM25" s="34">
        <f t="shared" ref="BM25:BQ26" si="17">BM22+BM19+BM16+BM13+BM10</f>
        <v>0</v>
      </c>
      <c r="BN25" s="34">
        <f t="shared" si="17"/>
        <v>0</v>
      </c>
      <c r="BO25" s="34">
        <f t="shared" si="17"/>
        <v>0</v>
      </c>
      <c r="BP25" s="34">
        <f t="shared" si="17"/>
        <v>0</v>
      </c>
      <c r="BQ25" s="34">
        <f t="shared" si="17"/>
        <v>0</v>
      </c>
      <c r="BR25"/>
      <c r="BS25"/>
      <c r="BT25"/>
      <c r="BU25"/>
      <c r="BV25"/>
    </row>
    <row r="26" spans="3:74" ht="16" thickBot="1" x14ac:dyDescent="0.25">
      <c r="C26" s="372"/>
      <c r="D26" s="11" t="s">
        <v>5</v>
      </c>
      <c r="E26" s="165">
        <f t="shared" si="10"/>
        <v>0</v>
      </c>
      <c r="F26" s="166">
        <f t="shared" si="10"/>
        <v>0</v>
      </c>
      <c r="I26" s="372"/>
      <c r="J26" s="11" t="s">
        <v>5</v>
      </c>
      <c r="K26" s="165">
        <f t="shared" si="11"/>
        <v>0</v>
      </c>
      <c r="L26" s="166">
        <f t="shared" si="11"/>
        <v>0</v>
      </c>
      <c r="O26" s="372"/>
      <c r="P26" s="11" t="s">
        <v>5</v>
      </c>
      <c r="Q26" s="165">
        <f t="shared" si="12"/>
        <v>1140</v>
      </c>
      <c r="R26" s="166">
        <f t="shared" si="12"/>
        <v>1140</v>
      </c>
      <c r="U26" s="372"/>
      <c r="V26" s="11" t="s">
        <v>5</v>
      </c>
      <c r="W26" s="165">
        <f t="shared" si="13"/>
        <v>377</v>
      </c>
      <c r="X26" s="166">
        <f t="shared" si="13"/>
        <v>377</v>
      </c>
      <c r="AA26" s="400"/>
      <c r="AB26" s="11" t="s">
        <v>5</v>
      </c>
      <c r="AC26" s="139">
        <f t="shared" si="14"/>
        <v>377</v>
      </c>
      <c r="AD26" s="140">
        <f t="shared" si="14"/>
        <v>389</v>
      </c>
      <c r="AE26" s="140">
        <f t="shared" si="14"/>
        <v>287</v>
      </c>
      <c r="AF26" s="140">
        <f t="shared" si="14"/>
        <v>305</v>
      </c>
      <c r="AG26" s="141">
        <f t="shared" si="14"/>
        <v>0</v>
      </c>
      <c r="AH26" s="370">
        <f>AH24+AH25</f>
        <v>1358</v>
      </c>
      <c r="AK26" s="361" t="s">
        <v>2</v>
      </c>
      <c r="AL26" s="362">
        <f>SUM(AL9:AL25)</f>
        <v>0</v>
      </c>
      <c r="AM26" s="362">
        <f>SUM(AM9:AM25)</f>
        <v>0</v>
      </c>
      <c r="AN26" s="362">
        <f>SUM(AN9:AN25)</f>
        <v>0</v>
      </c>
      <c r="AQ26" s="400"/>
      <c r="AR26" s="56" t="s">
        <v>5</v>
      </c>
      <c r="AS26" s="119">
        <f t="shared" si="15"/>
        <v>0</v>
      </c>
      <c r="AT26" s="119">
        <f t="shared" si="15"/>
        <v>0</v>
      </c>
      <c r="AU26" s="119">
        <f t="shared" si="15"/>
        <v>0</v>
      </c>
      <c r="AV26" s="119">
        <f t="shared" si="15"/>
        <v>0</v>
      </c>
      <c r="AW26" s="119">
        <f t="shared" si="15"/>
        <v>0</v>
      </c>
      <c r="BA26" s="400"/>
      <c r="BB26" s="56" t="s">
        <v>5</v>
      </c>
      <c r="BC26" s="119">
        <f t="shared" si="16"/>
        <v>0</v>
      </c>
      <c r="BD26" s="119">
        <f t="shared" si="16"/>
        <v>0</v>
      </c>
      <c r="BE26" s="119">
        <f t="shared" si="16"/>
        <v>0</v>
      </c>
      <c r="BF26" s="119">
        <f t="shared" si="16"/>
        <v>0</v>
      </c>
      <c r="BG26" s="119">
        <f t="shared" si="16"/>
        <v>0</v>
      </c>
      <c r="BH26"/>
      <c r="BI26"/>
      <c r="BJ26"/>
      <c r="BK26" s="400"/>
      <c r="BL26" s="56" t="s">
        <v>5</v>
      </c>
      <c r="BM26" s="119">
        <f t="shared" si="17"/>
        <v>0</v>
      </c>
      <c r="BN26" s="119">
        <f t="shared" si="17"/>
        <v>0</v>
      </c>
      <c r="BO26" s="119">
        <f t="shared" si="17"/>
        <v>0</v>
      </c>
      <c r="BP26" s="119">
        <f t="shared" si="17"/>
        <v>0</v>
      </c>
      <c r="BQ26" s="119">
        <f t="shared" si="17"/>
        <v>0</v>
      </c>
      <c r="BR26"/>
    </row>
    <row r="27" spans="3:74" x14ac:dyDescent="0.15">
      <c r="C27" s="115"/>
      <c r="D27" s="114"/>
      <c r="E27" s="163"/>
      <c r="F27" s="164"/>
      <c r="AQ27" s="115"/>
      <c r="AR27" s="114"/>
      <c r="AS27" s="17"/>
      <c r="AT27" s="17"/>
      <c r="AU27" s="17"/>
      <c r="AV27" s="17"/>
      <c r="AW27" s="17"/>
    </row>
    <row r="28" spans="3:74" x14ac:dyDescent="0.15">
      <c r="C28" s="115"/>
      <c r="D28" s="114"/>
      <c r="E28" s="163"/>
      <c r="F28" s="164"/>
      <c r="AQ28" s="115"/>
      <c r="AR28" s="114"/>
      <c r="AS28" s="17"/>
      <c r="AT28" s="17"/>
      <c r="AU28" s="17"/>
      <c r="AV28" s="17"/>
      <c r="AW28" s="17"/>
    </row>
    <row r="29" spans="3:74" x14ac:dyDescent="0.15">
      <c r="C29" s="115"/>
      <c r="D29" s="114"/>
      <c r="E29" s="163"/>
      <c r="F29" s="164"/>
    </row>
    <row r="58" spans="3:8" x14ac:dyDescent="0.15">
      <c r="C58" s="1"/>
      <c r="D58" s="1"/>
      <c r="E58" s="1"/>
      <c r="F58" s="1"/>
      <c r="G58" s="2"/>
      <c r="H58" s="2"/>
    </row>
    <row r="59" spans="3:8" x14ac:dyDescent="0.15">
      <c r="G59" s="2"/>
      <c r="H59" s="2"/>
    </row>
    <row r="60" spans="3:8" x14ac:dyDescent="0.15">
      <c r="G60" s="2"/>
      <c r="H60" s="2"/>
    </row>
    <row r="119" ht="75" customHeight="1" x14ac:dyDescent="0.15"/>
    <row r="121" ht="15" customHeight="1" x14ac:dyDescent="0.15"/>
    <row r="149" ht="20.5" customHeight="1" x14ac:dyDescent="0.15"/>
    <row r="150" ht="32" customHeight="1" x14ac:dyDescent="0.15"/>
    <row r="172" ht="80.5" customHeight="1" x14ac:dyDescent="0.15"/>
    <row r="200" ht="74.5" customHeight="1" x14ac:dyDescent="0.15"/>
    <row r="221" spans="3:13" ht="15" x14ac:dyDescent="0.2">
      <c r="C221" s="115"/>
      <c r="D221" s="114"/>
      <c r="E221" s="17"/>
      <c r="F221" s="17"/>
      <c r="G221" s="17"/>
      <c r="H221" s="17"/>
      <c r="I221" s="17"/>
      <c r="J221"/>
      <c r="K221"/>
      <c r="L221"/>
      <c r="M221"/>
    </row>
    <row r="222" spans="3:13" ht="15" x14ac:dyDescent="0.2">
      <c r="C222" s="115"/>
      <c r="D222" s="114"/>
      <c r="E222" s="17"/>
      <c r="F222" s="17"/>
      <c r="G222" s="17"/>
      <c r="H222" s="17"/>
      <c r="I222" s="17"/>
      <c r="J222"/>
      <c r="K222"/>
      <c r="L222"/>
      <c r="M222"/>
    </row>
    <row r="223" spans="3:13" ht="15" x14ac:dyDescent="0.2">
      <c r="C223"/>
      <c r="D223"/>
      <c r="E223"/>
      <c r="F223"/>
      <c r="G223"/>
      <c r="H223"/>
      <c r="I223"/>
      <c r="J223"/>
      <c r="K223"/>
      <c r="L223"/>
      <c r="M223"/>
    </row>
    <row r="224" spans="3:13" ht="15" x14ac:dyDescent="0.2">
      <c r="C224"/>
      <c r="D224"/>
      <c r="E224"/>
      <c r="F224"/>
      <c r="G224"/>
      <c r="H224"/>
      <c r="I224"/>
      <c r="J224"/>
      <c r="K224"/>
      <c r="L224"/>
      <c r="M224"/>
    </row>
    <row r="228" ht="82.25" customHeight="1" x14ac:dyDescent="0.15"/>
    <row r="249" spans="3:14" ht="15" x14ac:dyDescent="0.2">
      <c r="C249"/>
      <c r="D249"/>
      <c r="E249"/>
      <c r="F249"/>
      <c r="G249"/>
      <c r="H249"/>
      <c r="I249"/>
      <c r="J249"/>
      <c r="K249"/>
      <c r="L249"/>
      <c r="M249"/>
      <c r="N249"/>
    </row>
    <row r="250" spans="3:14" ht="15" x14ac:dyDescent="0.2">
      <c r="C250"/>
      <c r="D250"/>
      <c r="E250"/>
      <c r="F250"/>
      <c r="G250"/>
      <c r="H250"/>
      <c r="I250"/>
      <c r="J250"/>
      <c r="K250"/>
      <c r="L250"/>
      <c r="M250"/>
      <c r="N250"/>
    </row>
    <row r="251" spans="3:14" ht="15" x14ac:dyDescent="0.2">
      <c r="C251"/>
      <c r="D251"/>
      <c r="E251"/>
      <c r="F251"/>
      <c r="G251"/>
      <c r="H251"/>
      <c r="I251"/>
      <c r="J251"/>
      <c r="K251"/>
      <c r="L251"/>
      <c r="M251"/>
      <c r="N251"/>
    </row>
    <row r="252" spans="3:14" ht="15" x14ac:dyDescent="0.2">
      <c r="C252"/>
      <c r="D252"/>
      <c r="E252"/>
      <c r="F252"/>
      <c r="G252"/>
      <c r="H252"/>
      <c r="I252"/>
      <c r="J252"/>
      <c r="K252"/>
      <c r="L252"/>
      <c r="M252"/>
      <c r="N252"/>
    </row>
    <row r="253" spans="3:14" ht="15" x14ac:dyDescent="0.2">
      <c r="C253"/>
      <c r="D253"/>
      <c r="E253"/>
      <c r="F253"/>
      <c r="G253"/>
      <c r="H253"/>
      <c r="I253"/>
      <c r="J253"/>
      <c r="K253"/>
      <c r="L253"/>
      <c r="M253"/>
      <c r="N253"/>
    </row>
  </sheetData>
  <mergeCells count="85">
    <mergeCell ref="AQ2:AY2"/>
    <mergeCell ref="BA5:BG5"/>
    <mergeCell ref="BA24:BA26"/>
    <mergeCell ref="BA15:BA17"/>
    <mergeCell ref="BA18:BA20"/>
    <mergeCell ref="BA21:BA23"/>
    <mergeCell ref="BC7:BD7"/>
    <mergeCell ref="AQ24:AQ26"/>
    <mergeCell ref="BE7:BF7"/>
    <mergeCell ref="AQ15:AQ17"/>
    <mergeCell ref="BK24:BK26"/>
    <mergeCell ref="BB7:BB8"/>
    <mergeCell ref="BK21:BK23"/>
    <mergeCell ref="BK15:BK17"/>
    <mergeCell ref="BK18:BK20"/>
    <mergeCell ref="C24:C26"/>
    <mergeCell ref="I9:I11"/>
    <mergeCell ref="I12:I14"/>
    <mergeCell ref="AQ21:AQ23"/>
    <mergeCell ref="AQ7:AQ8"/>
    <mergeCell ref="C15:C17"/>
    <mergeCell ref="C21:C23"/>
    <mergeCell ref="C9:C11"/>
    <mergeCell ref="C12:C14"/>
    <mergeCell ref="R7:R8"/>
    <mergeCell ref="BK5:BR5"/>
    <mergeCell ref="BM7:BN7"/>
    <mergeCell ref="BO7:BP7"/>
    <mergeCell ref="BA12:BA14"/>
    <mergeCell ref="I21:I23"/>
    <mergeCell ref="BK12:BK14"/>
    <mergeCell ref="K7:K8"/>
    <mergeCell ref="L7:L8"/>
    <mergeCell ref="O7:O8"/>
    <mergeCell ref="U9:U11"/>
    <mergeCell ref="U12:U14"/>
    <mergeCell ref="P7:P8"/>
    <mergeCell ref="U7:U8"/>
    <mergeCell ref="BA9:BA11"/>
    <mergeCell ref="AB7:AB8"/>
    <mergeCell ref="I15:I17"/>
    <mergeCell ref="O24:O26"/>
    <mergeCell ref="V7:V8"/>
    <mergeCell ref="W7:W8"/>
    <mergeCell ref="X7:X8"/>
    <mergeCell ref="U24:U26"/>
    <mergeCell ref="U15:U17"/>
    <mergeCell ref="U18:U20"/>
    <mergeCell ref="U21:U23"/>
    <mergeCell ref="I24:I26"/>
    <mergeCell ref="O21:O23"/>
    <mergeCell ref="O9:O11"/>
    <mergeCell ref="O12:O14"/>
    <mergeCell ref="O18:O20"/>
    <mergeCell ref="AA21:AA23"/>
    <mergeCell ref="AA24:AA26"/>
    <mergeCell ref="AA9:AA11"/>
    <mergeCell ref="AA18:AA20"/>
    <mergeCell ref="I18:I20"/>
    <mergeCell ref="AQ18:AQ20"/>
    <mergeCell ref="AQ12:AQ14"/>
    <mergeCell ref="AA12:AA14"/>
    <mergeCell ref="Q7:Q8"/>
    <mergeCell ref="BK9:BK11"/>
    <mergeCell ref="BK7:BK8"/>
    <mergeCell ref="AK7:AK8"/>
    <mergeCell ref="AL7:AM7"/>
    <mergeCell ref="AQ9:AQ11"/>
    <mergeCell ref="C7:C8"/>
    <mergeCell ref="D7:D8"/>
    <mergeCell ref="E7:E8"/>
    <mergeCell ref="F7:F8"/>
    <mergeCell ref="I7:I8"/>
    <mergeCell ref="BL7:BL8"/>
    <mergeCell ref="AC7:AG7"/>
    <mergeCell ref="AS7:AT7"/>
    <mergeCell ref="AU7:AV7"/>
    <mergeCell ref="BA7:BA8"/>
    <mergeCell ref="J7:J8"/>
    <mergeCell ref="AA15:AA17"/>
    <mergeCell ref="AA5:AH5"/>
    <mergeCell ref="AQ5:AW5"/>
    <mergeCell ref="AA7:AA8"/>
    <mergeCell ref="AR7:AR8"/>
    <mergeCell ref="O15:O17"/>
  </mergeCells>
  <printOptions horizontalCentered="1"/>
  <pageMargins left="0.7" right="0.7" top="0.75" bottom="0.75" header="0.3" footer="0.3"/>
  <pageSetup orientation="landscape" blackAndWhite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573AD-0B06-2646-8FFD-1BFB375E992A}">
  <sheetPr>
    <pageSetUpPr fitToPage="1"/>
  </sheetPr>
  <dimension ref="B1:CK182"/>
  <sheetViews>
    <sheetView zoomScale="80" zoomScaleNormal="80" workbookViewId="0"/>
  </sheetViews>
  <sheetFormatPr baseColWidth="10" defaultColWidth="9.1640625" defaultRowHeight="15" x14ac:dyDescent="0.2"/>
  <cols>
    <col min="1" max="1" width="5.6640625" customWidth="1"/>
    <col min="2" max="2" width="39.83203125" customWidth="1"/>
    <col min="3" max="3" width="13.1640625" customWidth="1"/>
    <col min="4" max="27" width="9.83203125" customWidth="1"/>
    <col min="28" max="29" width="5.83203125" customWidth="1"/>
    <col min="30" max="30" width="18.6640625" customWidth="1"/>
    <col min="31" max="37" width="13.33203125" customWidth="1"/>
    <col min="40" max="40" width="39.1640625" customWidth="1"/>
    <col min="41" max="41" width="12.33203125" customWidth="1"/>
    <col min="68" max="68" width="30.83203125" customWidth="1"/>
    <col min="70" max="75" width="12.5" customWidth="1"/>
    <col min="76" max="76" width="11.1640625" customWidth="1"/>
    <col min="79" max="79" width="30.5" customWidth="1"/>
    <col min="80" max="80" width="11.33203125" customWidth="1"/>
    <col min="81" max="87" width="12.83203125" customWidth="1"/>
  </cols>
  <sheetData>
    <row r="1" spans="2:89" s="363" customFormat="1" x14ac:dyDescent="0.2"/>
    <row r="3" spans="2:89" x14ac:dyDescent="0.2">
      <c r="B3" s="187" t="s">
        <v>91</v>
      </c>
      <c r="C3" s="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72"/>
      <c r="T3" s="72"/>
      <c r="U3" s="72"/>
      <c r="V3" s="72"/>
      <c r="W3" s="72"/>
      <c r="X3" s="173"/>
      <c r="Y3" s="173"/>
      <c r="Z3" s="173"/>
      <c r="AA3" s="173"/>
      <c r="AD3" s="235" t="s">
        <v>92</v>
      </c>
      <c r="AE3" s="73"/>
      <c r="AF3" s="73"/>
      <c r="AG3" s="73"/>
      <c r="AH3" s="73"/>
      <c r="AI3" s="73"/>
      <c r="AJ3" s="73"/>
      <c r="AK3" s="73"/>
      <c r="AL3" s="73"/>
      <c r="AM3" s="73"/>
      <c r="AN3" s="187" t="s">
        <v>93</v>
      </c>
      <c r="AO3" s="73"/>
      <c r="AP3" s="236"/>
      <c r="AQ3" s="236"/>
      <c r="AR3" s="236"/>
      <c r="AS3" s="236"/>
      <c r="AT3" s="236"/>
      <c r="AU3" s="236"/>
      <c r="AV3" s="236"/>
      <c r="AW3" s="236"/>
      <c r="AX3" s="236"/>
      <c r="AY3" s="236"/>
      <c r="AZ3" s="236"/>
      <c r="BA3" s="236"/>
      <c r="BB3" s="236"/>
      <c r="BC3" s="236"/>
      <c r="BD3" s="236"/>
      <c r="BE3" s="237"/>
      <c r="BF3" s="237"/>
      <c r="BG3" s="237"/>
      <c r="BH3" s="237"/>
      <c r="BI3" s="237"/>
      <c r="BJ3" s="236"/>
      <c r="BK3" s="236"/>
      <c r="BL3" s="236"/>
      <c r="BM3" s="236"/>
      <c r="BN3" s="73"/>
      <c r="BO3" s="73"/>
      <c r="BP3" s="235" t="s">
        <v>94</v>
      </c>
      <c r="BQ3" s="72"/>
      <c r="BR3" s="72"/>
      <c r="BS3" s="72"/>
      <c r="BT3" s="72"/>
      <c r="BU3" s="72"/>
      <c r="BV3" s="72"/>
      <c r="BW3" s="72"/>
      <c r="BX3" s="72"/>
      <c r="BY3" s="73"/>
      <c r="BZ3" s="73"/>
      <c r="CA3" s="235" t="s">
        <v>95</v>
      </c>
      <c r="CB3" s="72"/>
      <c r="CC3" s="238"/>
      <c r="CD3" s="238"/>
      <c r="CE3" s="238"/>
      <c r="CF3" s="238"/>
      <c r="CG3" s="238"/>
      <c r="CH3" s="238"/>
      <c r="CI3" s="238"/>
      <c r="CJ3" s="72"/>
      <c r="CK3" s="73"/>
    </row>
    <row r="4" spans="2:89" x14ac:dyDescent="0.2">
      <c r="B4" s="187" t="s">
        <v>22</v>
      </c>
      <c r="C4" s="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72"/>
      <c r="T4" s="72"/>
      <c r="U4" s="72"/>
      <c r="V4" s="72"/>
      <c r="W4" s="72"/>
      <c r="X4" s="173"/>
      <c r="Y4" s="173"/>
      <c r="Z4" s="173"/>
      <c r="AA4" s="173"/>
      <c r="AD4" s="235" t="s">
        <v>7</v>
      </c>
      <c r="AE4" s="73"/>
      <c r="AF4" s="73"/>
      <c r="AG4" s="73"/>
      <c r="AH4" s="73"/>
      <c r="AI4" s="73"/>
      <c r="AJ4" s="73"/>
      <c r="AK4" s="73"/>
      <c r="AL4" s="73"/>
      <c r="AM4" s="73"/>
      <c r="AN4" s="187" t="s">
        <v>22</v>
      </c>
      <c r="AO4" s="73"/>
      <c r="AP4" s="236"/>
      <c r="AQ4" s="236"/>
      <c r="AR4" s="236"/>
      <c r="AS4" s="236"/>
      <c r="AT4" s="236"/>
      <c r="AU4" s="236"/>
      <c r="AV4" s="236"/>
      <c r="AW4" s="236"/>
      <c r="AX4" s="236"/>
      <c r="AY4" s="236"/>
      <c r="AZ4" s="236"/>
      <c r="BA4" s="236"/>
      <c r="BB4" s="236"/>
      <c r="BC4" s="236"/>
      <c r="BD4" s="236"/>
      <c r="BE4" s="237"/>
      <c r="BF4" s="237"/>
      <c r="BG4" s="237"/>
      <c r="BH4" s="237"/>
      <c r="BI4" s="237"/>
      <c r="BJ4" s="236"/>
      <c r="BK4" s="236"/>
      <c r="BL4" s="236"/>
      <c r="BM4" s="236"/>
      <c r="BN4" s="73"/>
      <c r="BO4" s="73"/>
      <c r="BP4" s="235" t="s">
        <v>9</v>
      </c>
      <c r="BQ4" s="72"/>
      <c r="BR4" s="72"/>
      <c r="BS4" s="72"/>
      <c r="BT4" s="72"/>
      <c r="BU4" s="72"/>
      <c r="BV4" s="72"/>
      <c r="BW4" s="72"/>
      <c r="BX4" s="72"/>
      <c r="BY4" s="73"/>
      <c r="BZ4" s="239"/>
      <c r="CA4" s="235" t="s">
        <v>9</v>
      </c>
      <c r="CB4" s="72"/>
      <c r="CC4" s="238"/>
      <c r="CD4" s="238"/>
      <c r="CE4" s="238"/>
      <c r="CF4" s="238"/>
      <c r="CG4" s="238"/>
      <c r="CH4" s="238"/>
      <c r="CI4" s="238"/>
      <c r="CJ4" s="72"/>
      <c r="CK4" s="73"/>
    </row>
    <row r="5" spans="2:89" ht="16" thickBot="1" x14ac:dyDescent="0.25">
      <c r="B5" s="187" t="s">
        <v>58</v>
      </c>
      <c r="C5" s="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D5" s="72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236"/>
      <c r="AQ5" s="236"/>
      <c r="AR5" s="236"/>
      <c r="AS5" s="236"/>
      <c r="AT5" s="236"/>
      <c r="AU5" s="236"/>
      <c r="AV5" s="236"/>
      <c r="AW5" s="236"/>
      <c r="AX5" s="236"/>
      <c r="AY5" s="236"/>
      <c r="AZ5" s="236"/>
      <c r="BA5" s="236"/>
      <c r="BB5" s="236"/>
      <c r="BC5" s="236"/>
      <c r="BD5" s="236"/>
      <c r="BE5" s="237"/>
      <c r="BF5" s="237"/>
      <c r="BG5" s="237"/>
      <c r="BH5" s="237"/>
      <c r="BI5" s="237"/>
      <c r="BJ5" s="236"/>
      <c r="BK5" s="236"/>
      <c r="BL5" s="236"/>
      <c r="BM5" s="236"/>
      <c r="BN5" s="73"/>
      <c r="BO5" s="73"/>
      <c r="BP5" s="72"/>
      <c r="BQ5" s="72"/>
      <c r="BR5" s="72"/>
      <c r="BS5" s="72"/>
      <c r="BT5" s="72"/>
      <c r="BU5" s="72"/>
      <c r="BV5" s="72"/>
      <c r="BW5" s="72"/>
      <c r="BX5" s="72"/>
      <c r="BY5" s="73"/>
      <c r="BZ5" s="73"/>
      <c r="CA5" s="72"/>
      <c r="CB5" s="72"/>
      <c r="CC5" s="238"/>
      <c r="CD5" s="238"/>
      <c r="CE5" s="238"/>
      <c r="CF5" s="238"/>
      <c r="CG5" s="238"/>
      <c r="CH5" s="238"/>
      <c r="CI5" s="238"/>
      <c r="CJ5" s="72"/>
      <c r="CK5" s="73"/>
    </row>
    <row r="6" spans="2:89" ht="15" customHeight="1" thickBot="1" x14ac:dyDescent="0.25">
      <c r="B6" s="419" t="s">
        <v>26</v>
      </c>
      <c r="C6" s="421" t="s">
        <v>1</v>
      </c>
      <c r="D6" s="417" t="s">
        <v>59</v>
      </c>
      <c r="E6" s="417"/>
      <c r="F6" s="417"/>
      <c r="G6" s="409"/>
      <c r="H6" s="417" t="s">
        <v>60</v>
      </c>
      <c r="I6" s="417"/>
      <c r="J6" s="417"/>
      <c r="K6" s="409"/>
      <c r="L6" s="408" t="s">
        <v>61</v>
      </c>
      <c r="M6" s="417"/>
      <c r="N6" s="417"/>
      <c r="O6" s="409"/>
      <c r="P6" s="408" t="s">
        <v>62</v>
      </c>
      <c r="Q6" s="417"/>
      <c r="R6" s="417"/>
      <c r="S6" s="409"/>
      <c r="T6" s="408" t="s">
        <v>63</v>
      </c>
      <c r="U6" s="417"/>
      <c r="V6" s="417"/>
      <c r="W6" s="409"/>
      <c r="X6" s="408" t="s">
        <v>23</v>
      </c>
      <c r="Y6" s="417"/>
      <c r="Z6" s="409"/>
      <c r="AA6" s="410" t="s">
        <v>27</v>
      </c>
      <c r="AD6" s="72"/>
      <c r="AE6" s="73"/>
      <c r="AF6" s="73"/>
      <c r="AG6" s="73"/>
      <c r="AH6" s="73"/>
      <c r="AI6" s="73"/>
      <c r="AJ6" s="73"/>
      <c r="AK6" s="73"/>
      <c r="AL6" s="73"/>
      <c r="AM6" s="73"/>
      <c r="AN6" s="419" t="s">
        <v>26</v>
      </c>
      <c r="AO6" s="421" t="s">
        <v>1</v>
      </c>
      <c r="AP6" s="417" t="s">
        <v>59</v>
      </c>
      <c r="AQ6" s="417"/>
      <c r="AR6" s="417"/>
      <c r="AS6" s="409"/>
      <c r="AT6" s="417" t="s">
        <v>60</v>
      </c>
      <c r="AU6" s="417"/>
      <c r="AV6" s="417"/>
      <c r="AW6" s="409"/>
      <c r="AX6" s="408" t="s">
        <v>61</v>
      </c>
      <c r="AY6" s="417"/>
      <c r="AZ6" s="417"/>
      <c r="BA6" s="409"/>
      <c r="BB6" s="408" t="s">
        <v>62</v>
      </c>
      <c r="BC6" s="417"/>
      <c r="BD6" s="417"/>
      <c r="BE6" s="409"/>
      <c r="BF6" s="408" t="s">
        <v>63</v>
      </c>
      <c r="BG6" s="417"/>
      <c r="BH6" s="417"/>
      <c r="BI6" s="409"/>
      <c r="BJ6" s="408" t="s">
        <v>23</v>
      </c>
      <c r="BK6" s="417"/>
      <c r="BL6" s="409"/>
      <c r="BM6" s="410" t="s">
        <v>27</v>
      </c>
      <c r="BN6" s="73"/>
      <c r="BO6" s="73"/>
      <c r="BP6" s="85"/>
      <c r="BQ6" s="243"/>
      <c r="BR6" s="412" t="s">
        <v>72</v>
      </c>
      <c r="BS6" s="413"/>
      <c r="BT6" s="412" t="s">
        <v>73</v>
      </c>
      <c r="BU6" s="414"/>
      <c r="BV6" s="412" t="s">
        <v>13</v>
      </c>
      <c r="BW6" s="414"/>
      <c r="BX6" s="415" t="s">
        <v>27</v>
      </c>
      <c r="BY6" s="73"/>
      <c r="BZ6" s="246"/>
      <c r="CA6" s="85"/>
      <c r="CB6" s="85"/>
      <c r="CC6" s="408" t="s">
        <v>72</v>
      </c>
      <c r="CD6" s="417"/>
      <c r="CE6" s="408" t="s">
        <v>73</v>
      </c>
      <c r="CF6" s="409"/>
      <c r="CG6" s="408" t="s">
        <v>13</v>
      </c>
      <c r="CH6" s="409"/>
      <c r="CI6" s="410" t="s">
        <v>27</v>
      </c>
      <c r="CJ6" s="235"/>
      <c r="CK6" s="247"/>
    </row>
    <row r="7" spans="2:89" ht="30" thickBot="1" x14ac:dyDescent="0.25">
      <c r="B7" s="420"/>
      <c r="C7" s="422"/>
      <c r="D7" s="192" t="s">
        <v>12</v>
      </c>
      <c r="E7" s="191" t="s">
        <v>64</v>
      </c>
      <c r="F7" s="191" t="s">
        <v>80</v>
      </c>
      <c r="G7" s="193" t="s">
        <v>65</v>
      </c>
      <c r="H7" s="192" t="s">
        <v>12</v>
      </c>
      <c r="I7" s="191" t="s">
        <v>64</v>
      </c>
      <c r="J7" s="191" t="s">
        <v>80</v>
      </c>
      <c r="K7" s="193" t="s">
        <v>65</v>
      </c>
      <c r="L7" s="191" t="s">
        <v>12</v>
      </c>
      <c r="M7" s="191" t="s">
        <v>64</v>
      </c>
      <c r="N7" s="191" t="s">
        <v>66</v>
      </c>
      <c r="O7" s="191" t="s">
        <v>65</v>
      </c>
      <c r="P7" s="191" t="s">
        <v>12</v>
      </c>
      <c r="Q7" s="191" t="s">
        <v>64</v>
      </c>
      <c r="R7" s="191" t="s">
        <v>80</v>
      </c>
      <c r="S7" s="191" t="s">
        <v>65</v>
      </c>
      <c r="T7" s="191" t="s">
        <v>12</v>
      </c>
      <c r="U7" s="191" t="s">
        <v>64</v>
      </c>
      <c r="V7" s="191" t="s">
        <v>80</v>
      </c>
      <c r="W7" s="191" t="s">
        <v>65</v>
      </c>
      <c r="X7" s="191" t="s">
        <v>64</v>
      </c>
      <c r="Y7" s="191" t="s">
        <v>66</v>
      </c>
      <c r="Z7" s="191" t="s">
        <v>65</v>
      </c>
      <c r="AA7" s="418"/>
      <c r="AD7" s="240" t="s">
        <v>26</v>
      </c>
      <c r="AE7" s="190" t="s">
        <v>1</v>
      </c>
      <c r="AF7" s="241" t="s">
        <v>67</v>
      </c>
      <c r="AG7" s="241" t="s">
        <v>68</v>
      </c>
      <c r="AH7" s="242" t="s">
        <v>69</v>
      </c>
      <c r="AI7" s="241" t="s">
        <v>70</v>
      </c>
      <c r="AJ7" s="241" t="s">
        <v>71</v>
      </c>
      <c r="AK7" s="241" t="s">
        <v>27</v>
      </c>
      <c r="AL7" s="73"/>
      <c r="AM7" s="73"/>
      <c r="AN7" s="420"/>
      <c r="AO7" s="422"/>
      <c r="AP7" s="192" t="s">
        <v>12</v>
      </c>
      <c r="AQ7" s="191" t="s">
        <v>64</v>
      </c>
      <c r="AR7" s="191" t="s">
        <v>74</v>
      </c>
      <c r="AS7" s="193" t="s">
        <v>65</v>
      </c>
      <c r="AT7" s="192" t="s">
        <v>12</v>
      </c>
      <c r="AU7" s="191" t="s">
        <v>64</v>
      </c>
      <c r="AV7" s="191" t="s">
        <v>66</v>
      </c>
      <c r="AW7" s="193" t="s">
        <v>65</v>
      </c>
      <c r="AX7" s="191" t="s">
        <v>12</v>
      </c>
      <c r="AY7" s="191" t="s">
        <v>64</v>
      </c>
      <c r="AZ7" s="191" t="s">
        <v>66</v>
      </c>
      <c r="BA7" s="191" t="s">
        <v>65</v>
      </c>
      <c r="BB7" s="191" t="s">
        <v>12</v>
      </c>
      <c r="BC7" s="191" t="s">
        <v>64</v>
      </c>
      <c r="BD7" s="191" t="s">
        <v>47</v>
      </c>
      <c r="BE7" s="191" t="s">
        <v>65</v>
      </c>
      <c r="BF7" s="191" t="s">
        <v>12</v>
      </c>
      <c r="BG7" s="191" t="s">
        <v>64</v>
      </c>
      <c r="BH7" s="191" t="s">
        <v>66</v>
      </c>
      <c r="BI7" s="191" t="s">
        <v>65</v>
      </c>
      <c r="BJ7" s="191" t="s">
        <v>64</v>
      </c>
      <c r="BK7" s="191" t="s">
        <v>66</v>
      </c>
      <c r="BL7" s="191" t="s">
        <v>65</v>
      </c>
      <c r="BM7" s="418"/>
      <c r="BN7" s="73"/>
      <c r="BO7" s="73"/>
      <c r="BP7" s="252" t="s">
        <v>10</v>
      </c>
      <c r="BQ7" s="253" t="s">
        <v>1</v>
      </c>
      <c r="BR7" s="254" t="s">
        <v>14</v>
      </c>
      <c r="BS7" s="244" t="s">
        <v>28</v>
      </c>
      <c r="BT7" s="254" t="s">
        <v>29</v>
      </c>
      <c r="BU7" s="245" t="s">
        <v>30</v>
      </c>
      <c r="BV7" s="254" t="s">
        <v>14</v>
      </c>
      <c r="BW7" s="245" t="s">
        <v>31</v>
      </c>
      <c r="BX7" s="416"/>
      <c r="BY7" s="73"/>
      <c r="BZ7" s="247"/>
      <c r="CA7" s="252" t="s">
        <v>10</v>
      </c>
      <c r="CB7" s="252" t="s">
        <v>1</v>
      </c>
      <c r="CC7" s="255" t="s">
        <v>14</v>
      </c>
      <c r="CD7" s="188" t="s">
        <v>28</v>
      </c>
      <c r="CE7" s="255" t="s">
        <v>29</v>
      </c>
      <c r="CF7" s="189" t="s">
        <v>30</v>
      </c>
      <c r="CG7" s="255" t="s">
        <v>14</v>
      </c>
      <c r="CH7" s="189" t="s">
        <v>31</v>
      </c>
      <c r="CI7" s="411"/>
      <c r="CJ7" s="88"/>
      <c r="CK7" s="247"/>
    </row>
    <row r="8" spans="2:89" ht="17" thickBot="1" x14ac:dyDescent="0.25">
      <c r="B8" s="194"/>
      <c r="C8" s="195" t="s">
        <v>3</v>
      </c>
      <c r="D8" s="196"/>
      <c r="E8" s="197"/>
      <c r="F8" s="198"/>
      <c r="G8" s="199"/>
      <c r="H8" s="196"/>
      <c r="I8" s="200"/>
      <c r="J8" s="198"/>
      <c r="K8" s="199"/>
      <c r="L8" s="196">
        <v>2</v>
      </c>
      <c r="M8" s="200"/>
      <c r="N8" s="198"/>
      <c r="O8" s="201"/>
      <c r="P8" s="198"/>
      <c r="Q8" s="200">
        <v>4</v>
      </c>
      <c r="R8" s="198"/>
      <c r="S8" s="199"/>
      <c r="T8" s="197"/>
      <c r="U8" s="200"/>
      <c r="V8" s="200"/>
      <c r="W8" s="199"/>
      <c r="X8" s="197"/>
      <c r="Y8" s="200"/>
      <c r="Z8" s="201"/>
      <c r="AA8" s="202">
        <f>SUM(D8:Z8)</f>
        <v>6</v>
      </c>
      <c r="AD8" s="248" t="s">
        <v>100</v>
      </c>
      <c r="AE8" s="249" t="s">
        <v>3</v>
      </c>
      <c r="AF8" s="250"/>
      <c r="AG8" s="250"/>
      <c r="AH8" s="250">
        <v>2</v>
      </c>
      <c r="AI8" s="250">
        <v>3</v>
      </c>
      <c r="AJ8" s="250"/>
      <c r="AK8" s="251">
        <f>SUM(AF8:AJ8)</f>
        <v>5</v>
      </c>
      <c r="AL8" s="73"/>
      <c r="AM8" s="73"/>
      <c r="AN8" s="194"/>
      <c r="AO8" s="195" t="s">
        <v>3</v>
      </c>
      <c r="AP8" s="260"/>
      <c r="AQ8" s="261"/>
      <c r="AR8" s="262"/>
      <c r="AS8" s="263"/>
      <c r="AT8" s="260"/>
      <c r="AU8" s="264"/>
      <c r="AV8" s="262"/>
      <c r="AW8" s="263"/>
      <c r="AX8" s="260"/>
      <c r="AY8" s="264"/>
      <c r="AZ8" s="262"/>
      <c r="BA8" s="265"/>
      <c r="BB8" s="262"/>
      <c r="BC8" s="264"/>
      <c r="BD8" s="262"/>
      <c r="BE8" s="263"/>
      <c r="BF8" s="261"/>
      <c r="BG8" s="264"/>
      <c r="BH8" s="264"/>
      <c r="BI8" s="263"/>
      <c r="BJ8" s="261"/>
      <c r="BK8" s="264"/>
      <c r="BL8" s="265"/>
      <c r="BM8" s="266">
        <f>SUM(AP8:BL8)</f>
        <v>0</v>
      </c>
      <c r="BN8" s="73"/>
      <c r="BO8" s="73"/>
      <c r="BP8" s="91" t="s">
        <v>109</v>
      </c>
      <c r="BQ8" s="267" t="s">
        <v>3</v>
      </c>
      <c r="BR8" s="92">
        <v>3</v>
      </c>
      <c r="BS8" s="93"/>
      <c r="BT8" s="92">
        <v>2</v>
      </c>
      <c r="BU8" s="93"/>
      <c r="BV8" s="92"/>
      <c r="BW8" s="94">
        <v>1</v>
      </c>
      <c r="BX8" s="92">
        <f>SUM(BR8:BW8)</f>
        <v>6</v>
      </c>
      <c r="BY8" s="73"/>
      <c r="BZ8" s="247"/>
      <c r="CA8" s="91"/>
      <c r="CB8" s="267" t="s">
        <v>3</v>
      </c>
      <c r="CC8" s="268"/>
      <c r="CD8" s="269"/>
      <c r="CE8" s="268"/>
      <c r="CF8" s="269"/>
      <c r="CG8" s="268"/>
      <c r="CH8" s="270"/>
      <c r="CI8" s="268">
        <f>SUM(CC8:CH8)</f>
        <v>0</v>
      </c>
      <c r="CJ8" s="271"/>
      <c r="CK8" s="247"/>
    </row>
    <row r="9" spans="2:89" ht="19.25" customHeight="1" thickBot="1" x14ac:dyDescent="0.25">
      <c r="B9" s="203" t="s">
        <v>100</v>
      </c>
      <c r="C9" s="195" t="s">
        <v>4</v>
      </c>
      <c r="D9" s="204"/>
      <c r="E9" s="205"/>
      <c r="F9" s="206"/>
      <c r="G9" s="207"/>
      <c r="H9" s="204"/>
      <c r="I9" s="208"/>
      <c r="J9" s="206"/>
      <c r="K9" s="207"/>
      <c r="L9" s="204"/>
      <c r="M9" s="208"/>
      <c r="N9" s="206"/>
      <c r="O9" s="209"/>
      <c r="P9" s="206"/>
      <c r="Q9" s="208">
        <v>1</v>
      </c>
      <c r="R9" s="206"/>
      <c r="S9" s="207"/>
      <c r="T9" s="205"/>
      <c r="U9" s="208"/>
      <c r="V9" s="208"/>
      <c r="W9" s="207"/>
      <c r="X9" s="205"/>
      <c r="Y9" s="208"/>
      <c r="Z9" s="209"/>
      <c r="AA9" s="210">
        <f>SUM(D9:Z9)</f>
        <v>1</v>
      </c>
      <c r="AD9" s="256"/>
      <c r="AE9" s="257" t="s">
        <v>4</v>
      </c>
      <c r="AF9" s="258"/>
      <c r="AG9" s="258"/>
      <c r="AH9" s="258">
        <v>1</v>
      </c>
      <c r="AI9" s="258">
        <v>1</v>
      </c>
      <c r="AJ9" s="258"/>
      <c r="AK9" s="259">
        <f t="shared" ref="AK9:AK43" si="0">SUM(AF9:AJ9)</f>
        <v>2</v>
      </c>
      <c r="AL9" s="73"/>
      <c r="AM9" s="73"/>
      <c r="AN9" s="203"/>
      <c r="AO9" s="195" t="s">
        <v>4</v>
      </c>
      <c r="AP9" s="276"/>
      <c r="AQ9" s="277"/>
      <c r="AR9" s="278"/>
      <c r="AS9" s="279"/>
      <c r="AT9" s="276"/>
      <c r="AU9" s="280"/>
      <c r="AV9" s="278"/>
      <c r="AW9" s="279"/>
      <c r="AX9" s="276"/>
      <c r="AY9" s="280"/>
      <c r="AZ9" s="278"/>
      <c r="BA9" s="281"/>
      <c r="BB9" s="278"/>
      <c r="BC9" s="280"/>
      <c r="BD9" s="278"/>
      <c r="BE9" s="279"/>
      <c r="BF9" s="277"/>
      <c r="BG9" s="280"/>
      <c r="BH9" s="280"/>
      <c r="BI9" s="279"/>
      <c r="BJ9" s="277"/>
      <c r="BK9" s="280"/>
      <c r="BL9" s="281"/>
      <c r="BM9" s="282">
        <f>SUM(AP9:BL9)</f>
        <v>0</v>
      </c>
      <c r="BN9" s="73"/>
      <c r="BO9" s="73"/>
      <c r="BP9" s="76"/>
      <c r="BQ9" s="283" t="s">
        <v>4</v>
      </c>
      <c r="BR9" s="95">
        <v>2</v>
      </c>
      <c r="BS9" s="96"/>
      <c r="BT9" s="95"/>
      <c r="BU9" s="96"/>
      <c r="BV9" s="95"/>
      <c r="BW9" s="97">
        <v>1</v>
      </c>
      <c r="BX9" s="92">
        <f>SUM(BR9:BW9)</f>
        <v>3</v>
      </c>
      <c r="BY9" s="73"/>
      <c r="BZ9" s="247"/>
      <c r="CA9" s="76"/>
      <c r="CB9" s="283" t="s">
        <v>4</v>
      </c>
      <c r="CC9" s="284"/>
      <c r="CD9" s="285"/>
      <c r="CE9" s="284"/>
      <c r="CF9" s="285"/>
      <c r="CG9" s="284"/>
      <c r="CH9" s="286"/>
      <c r="CI9" s="268">
        <f t="shared" ref="CI9:CI43" si="1">SUM(CC9:CH9)</f>
        <v>0</v>
      </c>
      <c r="CJ9" s="287"/>
      <c r="CK9" s="247"/>
    </row>
    <row r="10" spans="2:89" ht="15" customHeight="1" thickBot="1" x14ac:dyDescent="0.25">
      <c r="B10" s="211"/>
      <c r="C10" s="195" t="s">
        <v>5</v>
      </c>
      <c r="D10" s="212">
        <f>D8+D9</f>
        <v>0</v>
      </c>
      <c r="E10" s="213">
        <f t="shared" ref="E10:Z10" si="2">E8+E9</f>
        <v>0</v>
      </c>
      <c r="F10" s="214">
        <f t="shared" si="2"/>
        <v>0</v>
      </c>
      <c r="G10" s="215">
        <f t="shared" si="2"/>
        <v>0</v>
      </c>
      <c r="H10" s="212">
        <f t="shared" si="2"/>
        <v>0</v>
      </c>
      <c r="I10" s="216">
        <f t="shared" si="2"/>
        <v>0</v>
      </c>
      <c r="J10" s="214">
        <f t="shared" si="2"/>
        <v>0</v>
      </c>
      <c r="K10" s="215">
        <f t="shared" si="2"/>
        <v>0</v>
      </c>
      <c r="L10" s="212">
        <f t="shared" si="2"/>
        <v>2</v>
      </c>
      <c r="M10" s="216">
        <f t="shared" si="2"/>
        <v>0</v>
      </c>
      <c r="N10" s="214">
        <f t="shared" si="2"/>
        <v>0</v>
      </c>
      <c r="O10" s="217">
        <f t="shared" si="2"/>
        <v>0</v>
      </c>
      <c r="P10" s="214">
        <f t="shared" si="2"/>
        <v>0</v>
      </c>
      <c r="Q10" s="216">
        <f t="shared" si="2"/>
        <v>5</v>
      </c>
      <c r="R10" s="214">
        <f t="shared" si="2"/>
        <v>0</v>
      </c>
      <c r="S10" s="215">
        <f t="shared" si="2"/>
        <v>0</v>
      </c>
      <c r="T10" s="213">
        <f t="shared" si="2"/>
        <v>0</v>
      </c>
      <c r="U10" s="216">
        <f t="shared" si="2"/>
        <v>0</v>
      </c>
      <c r="V10" s="216">
        <f t="shared" si="2"/>
        <v>0</v>
      </c>
      <c r="W10" s="215">
        <f t="shared" si="2"/>
        <v>0</v>
      </c>
      <c r="X10" s="213">
        <f t="shared" si="2"/>
        <v>0</v>
      </c>
      <c r="Y10" s="216">
        <f t="shared" si="2"/>
        <v>0</v>
      </c>
      <c r="Z10" s="217">
        <f t="shared" si="2"/>
        <v>0</v>
      </c>
      <c r="AA10" s="218">
        <f>SUM(D10:Z10)</f>
        <v>7</v>
      </c>
      <c r="AD10" s="272"/>
      <c r="AE10" s="273" t="s">
        <v>5</v>
      </c>
      <c r="AF10" s="274">
        <f>SUM(AF8:AF9)</f>
        <v>0</v>
      </c>
      <c r="AG10" s="274">
        <f>SUM(AG8:AG9)</f>
        <v>0</v>
      </c>
      <c r="AH10" s="274">
        <f>SUM(AH8:AH9)</f>
        <v>3</v>
      </c>
      <c r="AI10" s="274">
        <f>SUM(AI8:AI9)</f>
        <v>4</v>
      </c>
      <c r="AJ10" s="274">
        <f>SUM(AJ8:AJ9)</f>
        <v>0</v>
      </c>
      <c r="AK10" s="275">
        <f t="shared" si="0"/>
        <v>7</v>
      </c>
      <c r="AL10" s="73"/>
      <c r="AM10" s="73"/>
      <c r="AN10" s="211"/>
      <c r="AO10" s="195" t="s">
        <v>5</v>
      </c>
      <c r="AP10" s="288">
        <f>AP8+AP9</f>
        <v>0</v>
      </c>
      <c r="AQ10" s="289">
        <f t="shared" ref="AQ10:BL10" si="3">AQ8+AQ9</f>
        <v>0</v>
      </c>
      <c r="AR10" s="290">
        <f t="shared" si="3"/>
        <v>0</v>
      </c>
      <c r="AS10" s="291">
        <f t="shared" si="3"/>
        <v>0</v>
      </c>
      <c r="AT10" s="288">
        <f t="shared" si="3"/>
        <v>0</v>
      </c>
      <c r="AU10" s="292">
        <f t="shared" si="3"/>
        <v>0</v>
      </c>
      <c r="AV10" s="290">
        <f t="shared" si="3"/>
        <v>0</v>
      </c>
      <c r="AW10" s="291">
        <f t="shared" si="3"/>
        <v>0</v>
      </c>
      <c r="AX10" s="288">
        <f t="shared" si="3"/>
        <v>0</v>
      </c>
      <c r="AY10" s="292">
        <f t="shared" si="3"/>
        <v>0</v>
      </c>
      <c r="AZ10" s="290">
        <f t="shared" si="3"/>
        <v>0</v>
      </c>
      <c r="BA10" s="293">
        <f t="shared" si="3"/>
        <v>0</v>
      </c>
      <c r="BB10" s="290">
        <f t="shared" si="3"/>
        <v>0</v>
      </c>
      <c r="BC10" s="292">
        <f t="shared" si="3"/>
        <v>0</v>
      </c>
      <c r="BD10" s="290">
        <f t="shared" si="3"/>
        <v>0</v>
      </c>
      <c r="BE10" s="291">
        <f t="shared" si="3"/>
        <v>0</v>
      </c>
      <c r="BF10" s="289">
        <f t="shared" si="3"/>
        <v>0</v>
      </c>
      <c r="BG10" s="292">
        <f t="shared" si="3"/>
        <v>0</v>
      </c>
      <c r="BH10" s="292">
        <f t="shared" si="3"/>
        <v>0</v>
      </c>
      <c r="BI10" s="291">
        <f t="shared" si="3"/>
        <v>0</v>
      </c>
      <c r="BJ10" s="289">
        <f t="shared" si="3"/>
        <v>0</v>
      </c>
      <c r="BK10" s="292">
        <f t="shared" si="3"/>
        <v>0</v>
      </c>
      <c r="BL10" s="293">
        <f t="shared" si="3"/>
        <v>0</v>
      </c>
      <c r="BM10" s="294">
        <f>SUM(AP10:BL10)</f>
        <v>0</v>
      </c>
      <c r="BN10" s="73"/>
      <c r="BO10" s="73"/>
      <c r="BP10" s="78"/>
      <c r="BQ10" s="295" t="s">
        <v>5</v>
      </c>
      <c r="BR10" s="98">
        <f t="shared" ref="BR10:BW10" si="4">BR8+BR9</f>
        <v>5</v>
      </c>
      <c r="BS10" s="98">
        <f t="shared" si="4"/>
        <v>0</v>
      </c>
      <c r="BT10" s="98">
        <f t="shared" si="4"/>
        <v>2</v>
      </c>
      <c r="BU10" s="98">
        <f t="shared" si="4"/>
        <v>0</v>
      </c>
      <c r="BV10" s="98">
        <f t="shared" si="4"/>
        <v>0</v>
      </c>
      <c r="BW10" s="98">
        <f t="shared" si="4"/>
        <v>2</v>
      </c>
      <c r="BX10" s="92">
        <f>SUM(BR10:BW10)</f>
        <v>9</v>
      </c>
      <c r="BY10" s="73"/>
      <c r="BZ10" s="247"/>
      <c r="CA10" s="78"/>
      <c r="CB10" s="295" t="s">
        <v>5</v>
      </c>
      <c r="CC10" s="296"/>
      <c r="CD10" s="297"/>
      <c r="CE10" s="296"/>
      <c r="CF10" s="297"/>
      <c r="CG10" s="296"/>
      <c r="CH10" s="298"/>
      <c r="CI10" s="268">
        <f t="shared" si="1"/>
        <v>0</v>
      </c>
      <c r="CJ10" s="72"/>
      <c r="CK10" s="247"/>
    </row>
    <row r="11" spans="2:89" ht="15" customHeight="1" thickBot="1" x14ac:dyDescent="0.25">
      <c r="B11" s="194"/>
      <c r="C11" s="195" t="s">
        <v>3</v>
      </c>
      <c r="D11" s="196"/>
      <c r="E11" s="197"/>
      <c r="F11" s="198"/>
      <c r="G11" s="199"/>
      <c r="H11" s="196"/>
      <c r="I11" s="200"/>
      <c r="J11" s="198"/>
      <c r="K11" s="199"/>
      <c r="L11" s="196"/>
      <c r="M11" s="200"/>
      <c r="N11" s="198"/>
      <c r="O11" s="201"/>
      <c r="P11" s="198"/>
      <c r="Q11" s="200">
        <v>3</v>
      </c>
      <c r="R11" s="198"/>
      <c r="S11" s="199"/>
      <c r="T11" s="219"/>
      <c r="U11" s="220"/>
      <c r="V11" s="220">
        <v>4</v>
      </c>
      <c r="W11" s="221"/>
      <c r="X11" s="219"/>
      <c r="Y11" s="220"/>
      <c r="Z11" s="222"/>
      <c r="AA11" s="202">
        <f t="shared" ref="AA11:AA43" si="5">SUM(D11:Z11)</f>
        <v>7</v>
      </c>
      <c r="AD11" s="248" t="s">
        <v>99</v>
      </c>
      <c r="AE11" s="249" t="s">
        <v>3</v>
      </c>
      <c r="AF11" s="250"/>
      <c r="AG11" s="250"/>
      <c r="AH11" s="250">
        <v>3</v>
      </c>
      <c r="AI11" s="250">
        <v>4</v>
      </c>
      <c r="AJ11" s="250"/>
      <c r="AK11" s="251">
        <f t="shared" si="0"/>
        <v>7</v>
      </c>
      <c r="AL11" s="73"/>
      <c r="AM11" s="73"/>
      <c r="AN11" s="194"/>
      <c r="AO11" s="195" t="s">
        <v>3</v>
      </c>
      <c r="AP11" s="260"/>
      <c r="AQ11" s="261"/>
      <c r="AR11" s="262"/>
      <c r="AS11" s="263"/>
      <c r="AT11" s="260"/>
      <c r="AU11" s="264"/>
      <c r="AV11" s="262"/>
      <c r="AW11" s="263"/>
      <c r="AX11" s="260"/>
      <c r="AY11" s="264"/>
      <c r="AZ11" s="262"/>
      <c r="BA11" s="265"/>
      <c r="BB11" s="262"/>
      <c r="BC11" s="264"/>
      <c r="BD11" s="262"/>
      <c r="BE11" s="263"/>
      <c r="BF11" s="299"/>
      <c r="BG11" s="300"/>
      <c r="BH11" s="300"/>
      <c r="BI11" s="301"/>
      <c r="BJ11" s="299"/>
      <c r="BK11" s="300"/>
      <c r="BL11" s="302"/>
      <c r="BM11" s="266">
        <f t="shared" ref="BM11:BM43" si="6">SUM(AP11:BL11)</f>
        <v>0</v>
      </c>
      <c r="BN11" s="73"/>
      <c r="BO11" s="73"/>
      <c r="BP11" s="89" t="s">
        <v>110</v>
      </c>
      <c r="BQ11" s="303" t="s">
        <v>3</v>
      </c>
      <c r="BR11" s="101">
        <v>1</v>
      </c>
      <c r="BS11" s="102"/>
      <c r="BT11" s="101">
        <v>1</v>
      </c>
      <c r="BU11" s="102"/>
      <c r="BV11" s="101"/>
      <c r="BW11" s="103"/>
      <c r="BX11" s="92">
        <f>SUM(BR11:BW11)</f>
        <v>2</v>
      </c>
      <c r="BY11" s="73"/>
      <c r="BZ11" s="247"/>
      <c r="CA11" s="89"/>
      <c r="CB11" s="303" t="s">
        <v>3</v>
      </c>
      <c r="CC11" s="304"/>
      <c r="CD11" s="305"/>
      <c r="CE11" s="304"/>
      <c r="CF11" s="305"/>
      <c r="CG11" s="304"/>
      <c r="CH11" s="306"/>
      <c r="CI11" s="268">
        <f t="shared" si="1"/>
        <v>0</v>
      </c>
      <c r="CJ11" s="73"/>
      <c r="CK11" s="247"/>
    </row>
    <row r="12" spans="2:89" ht="15" customHeight="1" thickBot="1" x14ac:dyDescent="0.25">
      <c r="B12" s="203" t="s">
        <v>99</v>
      </c>
      <c r="C12" s="195" t="s">
        <v>4</v>
      </c>
      <c r="D12" s="204"/>
      <c r="E12" s="205"/>
      <c r="F12" s="206"/>
      <c r="G12" s="207"/>
      <c r="H12" s="204"/>
      <c r="I12" s="208"/>
      <c r="J12" s="206"/>
      <c r="K12" s="207"/>
      <c r="L12" s="204"/>
      <c r="M12" s="208"/>
      <c r="N12" s="206"/>
      <c r="O12" s="209"/>
      <c r="P12" s="206"/>
      <c r="Q12" s="208"/>
      <c r="R12" s="206"/>
      <c r="S12" s="207"/>
      <c r="T12" s="205"/>
      <c r="U12" s="208"/>
      <c r="V12" s="208"/>
      <c r="W12" s="207"/>
      <c r="X12" s="205"/>
      <c r="Y12" s="208"/>
      <c r="Z12" s="209"/>
      <c r="AA12" s="210">
        <f t="shared" si="5"/>
        <v>0</v>
      </c>
      <c r="AD12" s="256"/>
      <c r="AE12" s="257" t="s">
        <v>4</v>
      </c>
      <c r="AF12" s="258"/>
      <c r="AG12" s="258"/>
      <c r="AH12" s="258"/>
      <c r="AI12" s="258"/>
      <c r="AJ12" s="258"/>
      <c r="AK12" s="259">
        <f t="shared" si="0"/>
        <v>0</v>
      </c>
      <c r="AL12" s="73"/>
      <c r="AM12" s="73"/>
      <c r="AN12" s="203"/>
      <c r="AO12" s="195" t="s">
        <v>4</v>
      </c>
      <c r="AP12" s="276"/>
      <c r="AQ12" s="277"/>
      <c r="AR12" s="278"/>
      <c r="AS12" s="279"/>
      <c r="AT12" s="276"/>
      <c r="AU12" s="280"/>
      <c r="AV12" s="278"/>
      <c r="AW12" s="279"/>
      <c r="AX12" s="276"/>
      <c r="AY12" s="280"/>
      <c r="AZ12" s="278"/>
      <c r="BA12" s="281"/>
      <c r="BB12" s="278"/>
      <c r="BC12" s="280"/>
      <c r="BD12" s="278"/>
      <c r="BE12" s="279"/>
      <c r="BF12" s="277"/>
      <c r="BG12" s="280"/>
      <c r="BH12" s="280"/>
      <c r="BI12" s="279"/>
      <c r="BJ12" s="277"/>
      <c r="BK12" s="280"/>
      <c r="BL12" s="281"/>
      <c r="BM12" s="282">
        <f t="shared" si="6"/>
        <v>0</v>
      </c>
      <c r="BN12" s="73"/>
      <c r="BO12" s="73"/>
      <c r="BP12" s="76"/>
      <c r="BQ12" s="283" t="s">
        <v>4</v>
      </c>
      <c r="BR12" s="95"/>
      <c r="BS12" s="96"/>
      <c r="BT12" s="95"/>
      <c r="BU12" s="96"/>
      <c r="BV12" s="95"/>
      <c r="BW12" s="97"/>
      <c r="BX12" s="92">
        <f t="shared" ref="BX12:BX43" si="7">SUM(BR12:BW12)</f>
        <v>0</v>
      </c>
      <c r="BY12" s="73"/>
      <c r="BZ12" s="247"/>
      <c r="CA12" s="76"/>
      <c r="CB12" s="283" t="s">
        <v>4</v>
      </c>
      <c r="CC12" s="284"/>
      <c r="CD12" s="285"/>
      <c r="CE12" s="284"/>
      <c r="CF12" s="285"/>
      <c r="CG12" s="284"/>
      <c r="CH12" s="286"/>
      <c r="CI12" s="268">
        <f t="shared" si="1"/>
        <v>0</v>
      </c>
      <c r="CJ12" s="73"/>
      <c r="CK12" s="247"/>
    </row>
    <row r="13" spans="2:89" ht="15" customHeight="1" thickBot="1" x14ac:dyDescent="0.25">
      <c r="B13" s="211"/>
      <c r="C13" s="195" t="s">
        <v>5</v>
      </c>
      <c r="D13" s="212">
        <f>D11+D12</f>
        <v>0</v>
      </c>
      <c r="E13" s="213">
        <f t="shared" ref="E13:Z13" si="8">E11+E12</f>
        <v>0</v>
      </c>
      <c r="F13" s="214">
        <f t="shared" si="8"/>
        <v>0</v>
      </c>
      <c r="G13" s="215">
        <f t="shared" si="8"/>
        <v>0</v>
      </c>
      <c r="H13" s="212">
        <f t="shared" si="8"/>
        <v>0</v>
      </c>
      <c r="I13" s="216">
        <f t="shared" si="8"/>
        <v>0</v>
      </c>
      <c r="J13" s="214">
        <f t="shared" si="8"/>
        <v>0</v>
      </c>
      <c r="K13" s="215">
        <f t="shared" si="8"/>
        <v>0</v>
      </c>
      <c r="L13" s="212">
        <f t="shared" si="8"/>
        <v>0</v>
      </c>
      <c r="M13" s="216">
        <f t="shared" si="8"/>
        <v>0</v>
      </c>
      <c r="N13" s="214">
        <f t="shared" si="8"/>
        <v>0</v>
      </c>
      <c r="O13" s="217">
        <f t="shared" si="8"/>
        <v>0</v>
      </c>
      <c r="P13" s="214">
        <f t="shared" si="8"/>
        <v>0</v>
      </c>
      <c r="Q13" s="216">
        <f t="shared" si="8"/>
        <v>3</v>
      </c>
      <c r="R13" s="214">
        <f t="shared" si="8"/>
        <v>0</v>
      </c>
      <c r="S13" s="215">
        <f t="shared" si="8"/>
        <v>0</v>
      </c>
      <c r="T13" s="223">
        <f t="shared" si="8"/>
        <v>0</v>
      </c>
      <c r="U13" s="224">
        <f t="shared" si="8"/>
        <v>0</v>
      </c>
      <c r="V13" s="224">
        <f t="shared" si="8"/>
        <v>4</v>
      </c>
      <c r="W13" s="225">
        <f t="shared" si="8"/>
        <v>0</v>
      </c>
      <c r="X13" s="223">
        <f t="shared" si="8"/>
        <v>0</v>
      </c>
      <c r="Y13" s="224">
        <f t="shared" si="8"/>
        <v>0</v>
      </c>
      <c r="Z13" s="226">
        <f t="shared" si="8"/>
        <v>0</v>
      </c>
      <c r="AA13" s="218">
        <f t="shared" si="5"/>
        <v>7</v>
      </c>
      <c r="AD13" s="272"/>
      <c r="AE13" s="273" t="s">
        <v>5</v>
      </c>
      <c r="AF13" s="274">
        <f>SUM(AF11:AF12)</f>
        <v>0</v>
      </c>
      <c r="AG13" s="274">
        <f>SUM(AG11:AG12)</f>
        <v>0</v>
      </c>
      <c r="AH13" s="274">
        <f>SUM(AH11:AH12)</f>
        <v>3</v>
      </c>
      <c r="AI13" s="274">
        <f>SUM(AI11:AI12)</f>
        <v>4</v>
      </c>
      <c r="AJ13" s="274">
        <f>SUM(AJ11:AJ12)</f>
        <v>0</v>
      </c>
      <c r="AK13" s="275">
        <f t="shared" si="0"/>
        <v>7</v>
      </c>
      <c r="AL13" s="73"/>
      <c r="AM13" s="73"/>
      <c r="AN13" s="211"/>
      <c r="AO13" s="195" t="s">
        <v>5</v>
      </c>
      <c r="AP13" s="288">
        <f>AP11+AP12</f>
        <v>0</v>
      </c>
      <c r="AQ13" s="289">
        <f t="shared" ref="AQ13:BL13" si="9">AQ11+AQ12</f>
        <v>0</v>
      </c>
      <c r="AR13" s="290">
        <f t="shared" si="9"/>
        <v>0</v>
      </c>
      <c r="AS13" s="291">
        <f t="shared" si="9"/>
        <v>0</v>
      </c>
      <c r="AT13" s="288">
        <f t="shared" si="9"/>
        <v>0</v>
      </c>
      <c r="AU13" s="292">
        <f t="shared" si="9"/>
        <v>0</v>
      </c>
      <c r="AV13" s="290">
        <f t="shared" si="9"/>
        <v>0</v>
      </c>
      <c r="AW13" s="291">
        <f t="shared" si="9"/>
        <v>0</v>
      </c>
      <c r="AX13" s="288">
        <f t="shared" si="9"/>
        <v>0</v>
      </c>
      <c r="AY13" s="292">
        <f t="shared" si="9"/>
        <v>0</v>
      </c>
      <c r="AZ13" s="290">
        <f t="shared" si="9"/>
        <v>0</v>
      </c>
      <c r="BA13" s="293">
        <f t="shared" si="9"/>
        <v>0</v>
      </c>
      <c r="BB13" s="290">
        <f t="shared" si="9"/>
        <v>0</v>
      </c>
      <c r="BC13" s="292">
        <f t="shared" si="9"/>
        <v>0</v>
      </c>
      <c r="BD13" s="290">
        <f t="shared" si="9"/>
        <v>0</v>
      </c>
      <c r="BE13" s="291">
        <f t="shared" si="9"/>
        <v>0</v>
      </c>
      <c r="BF13" s="307">
        <f t="shared" si="9"/>
        <v>0</v>
      </c>
      <c r="BG13" s="308">
        <f t="shared" si="9"/>
        <v>0</v>
      </c>
      <c r="BH13" s="308">
        <f t="shared" si="9"/>
        <v>0</v>
      </c>
      <c r="BI13" s="309">
        <f t="shared" si="9"/>
        <v>0</v>
      </c>
      <c r="BJ13" s="307">
        <f t="shared" si="9"/>
        <v>0</v>
      </c>
      <c r="BK13" s="308">
        <f t="shared" si="9"/>
        <v>0</v>
      </c>
      <c r="BL13" s="310">
        <f t="shared" si="9"/>
        <v>0</v>
      </c>
      <c r="BM13" s="294">
        <f t="shared" si="6"/>
        <v>0</v>
      </c>
      <c r="BN13" s="73"/>
      <c r="BO13" s="73"/>
      <c r="BP13" s="90"/>
      <c r="BQ13" s="311" t="s">
        <v>5</v>
      </c>
      <c r="BR13" s="104">
        <f t="shared" ref="BR13:BW13" si="10">BR11+BR12</f>
        <v>1</v>
      </c>
      <c r="BS13" s="104">
        <f t="shared" si="10"/>
        <v>0</v>
      </c>
      <c r="BT13" s="104">
        <f t="shared" si="10"/>
        <v>1</v>
      </c>
      <c r="BU13" s="104">
        <f t="shared" si="10"/>
        <v>0</v>
      </c>
      <c r="BV13" s="104">
        <f t="shared" si="10"/>
        <v>0</v>
      </c>
      <c r="BW13" s="104">
        <f t="shared" si="10"/>
        <v>0</v>
      </c>
      <c r="BX13" s="92">
        <f t="shared" si="7"/>
        <v>2</v>
      </c>
      <c r="BY13" s="73"/>
      <c r="BZ13" s="247"/>
      <c r="CA13" s="90"/>
      <c r="CB13" s="311" t="s">
        <v>5</v>
      </c>
      <c r="CC13" s="312"/>
      <c r="CD13" s="313"/>
      <c r="CE13" s="312"/>
      <c r="CF13" s="313"/>
      <c r="CG13" s="312"/>
      <c r="CH13" s="314"/>
      <c r="CI13" s="268">
        <f t="shared" si="1"/>
        <v>0</v>
      </c>
      <c r="CJ13" s="73"/>
      <c r="CK13" s="247"/>
    </row>
    <row r="14" spans="2:89" ht="15.75" customHeight="1" thickBot="1" x14ac:dyDescent="0.25">
      <c r="B14" s="194"/>
      <c r="C14" s="195" t="s">
        <v>3</v>
      </c>
      <c r="D14" s="196"/>
      <c r="E14" s="197"/>
      <c r="F14" s="198"/>
      <c r="G14" s="199"/>
      <c r="H14" s="196"/>
      <c r="I14" s="200"/>
      <c r="J14" s="198"/>
      <c r="K14" s="199"/>
      <c r="L14" s="196">
        <v>1</v>
      </c>
      <c r="M14" s="200"/>
      <c r="N14" s="198"/>
      <c r="O14" s="201"/>
      <c r="P14" s="198"/>
      <c r="Q14" s="200">
        <v>3</v>
      </c>
      <c r="R14" s="198"/>
      <c r="S14" s="199"/>
      <c r="T14" s="197"/>
      <c r="U14" s="200"/>
      <c r="V14" s="200"/>
      <c r="W14" s="199">
        <v>1</v>
      </c>
      <c r="X14" s="197"/>
      <c r="Y14" s="200"/>
      <c r="Z14" s="201"/>
      <c r="AA14" s="202">
        <f t="shared" si="5"/>
        <v>5</v>
      </c>
      <c r="AD14" s="248" t="s">
        <v>101</v>
      </c>
      <c r="AE14" s="249" t="s">
        <v>3</v>
      </c>
      <c r="AF14" s="250"/>
      <c r="AG14" s="250"/>
      <c r="AH14" s="250">
        <v>5</v>
      </c>
      <c r="AI14" s="250">
        <v>1</v>
      </c>
      <c r="AJ14" s="250"/>
      <c r="AK14" s="251">
        <f t="shared" si="0"/>
        <v>6</v>
      </c>
      <c r="AL14" s="73"/>
      <c r="AM14" s="73"/>
      <c r="AN14" s="194"/>
      <c r="AO14" s="195" t="s">
        <v>3</v>
      </c>
      <c r="AP14" s="260"/>
      <c r="AQ14" s="261"/>
      <c r="AR14" s="262"/>
      <c r="AS14" s="263"/>
      <c r="AT14" s="260"/>
      <c r="AU14" s="264"/>
      <c r="AV14" s="262"/>
      <c r="AW14" s="263"/>
      <c r="AX14" s="260"/>
      <c r="AY14" s="264"/>
      <c r="AZ14" s="262"/>
      <c r="BA14" s="265"/>
      <c r="BB14" s="262"/>
      <c r="BC14" s="264"/>
      <c r="BD14" s="262"/>
      <c r="BE14" s="263"/>
      <c r="BF14" s="261"/>
      <c r="BG14" s="264"/>
      <c r="BH14" s="264"/>
      <c r="BI14" s="263"/>
      <c r="BJ14" s="261"/>
      <c r="BK14" s="264"/>
      <c r="BL14" s="265"/>
      <c r="BM14" s="266">
        <f t="shared" si="6"/>
        <v>0</v>
      </c>
      <c r="BN14" s="73"/>
      <c r="BO14" s="73"/>
      <c r="BP14" s="75" t="s">
        <v>111</v>
      </c>
      <c r="BQ14" s="267" t="s">
        <v>3</v>
      </c>
      <c r="BR14" s="107">
        <v>1</v>
      </c>
      <c r="BS14" s="108"/>
      <c r="BT14" s="107"/>
      <c r="BU14" s="108"/>
      <c r="BV14" s="107">
        <v>1</v>
      </c>
      <c r="BW14" s="109"/>
      <c r="BX14" s="92">
        <f t="shared" si="7"/>
        <v>2</v>
      </c>
      <c r="BY14" s="73"/>
      <c r="BZ14" s="315"/>
      <c r="CA14" s="75"/>
      <c r="CB14" s="267" t="s">
        <v>3</v>
      </c>
      <c r="CC14" s="316"/>
      <c r="CD14" s="317"/>
      <c r="CE14" s="316"/>
      <c r="CF14" s="317"/>
      <c r="CG14" s="316"/>
      <c r="CH14" s="318"/>
      <c r="CI14" s="268">
        <f t="shared" si="1"/>
        <v>0</v>
      </c>
      <c r="CJ14" s="73"/>
      <c r="CK14" s="247"/>
    </row>
    <row r="15" spans="2:89" ht="15.75" customHeight="1" thickBot="1" x14ac:dyDescent="0.25">
      <c r="B15" s="203" t="s">
        <v>101</v>
      </c>
      <c r="C15" s="195" t="s">
        <v>4</v>
      </c>
      <c r="D15" s="204"/>
      <c r="E15" s="205"/>
      <c r="F15" s="206"/>
      <c r="G15" s="207"/>
      <c r="H15" s="204"/>
      <c r="I15" s="208"/>
      <c r="J15" s="206"/>
      <c r="K15" s="207"/>
      <c r="L15" s="204"/>
      <c r="M15" s="208"/>
      <c r="N15" s="206"/>
      <c r="O15" s="209"/>
      <c r="P15" s="206"/>
      <c r="Q15" s="208">
        <v>4</v>
      </c>
      <c r="R15" s="206"/>
      <c r="S15" s="207"/>
      <c r="T15" s="205"/>
      <c r="U15" s="208"/>
      <c r="V15" s="208"/>
      <c r="W15" s="207"/>
      <c r="X15" s="205"/>
      <c r="Y15" s="208"/>
      <c r="Z15" s="209"/>
      <c r="AA15" s="210">
        <f t="shared" si="5"/>
        <v>4</v>
      </c>
      <c r="AD15" s="256"/>
      <c r="AE15" s="257" t="s">
        <v>4</v>
      </c>
      <c r="AF15" s="258"/>
      <c r="AG15" s="258">
        <v>1</v>
      </c>
      <c r="AH15" s="258">
        <v>2</v>
      </c>
      <c r="AI15" s="258"/>
      <c r="AJ15" s="258"/>
      <c r="AK15" s="259">
        <f t="shared" si="0"/>
        <v>3</v>
      </c>
      <c r="AL15" s="73"/>
      <c r="AM15" s="73"/>
      <c r="AN15" s="203"/>
      <c r="AO15" s="195" t="s">
        <v>4</v>
      </c>
      <c r="AP15" s="276"/>
      <c r="AQ15" s="277"/>
      <c r="AR15" s="278"/>
      <c r="AS15" s="279"/>
      <c r="AT15" s="276"/>
      <c r="AU15" s="280"/>
      <c r="AV15" s="278"/>
      <c r="AW15" s="279"/>
      <c r="AX15" s="276"/>
      <c r="AY15" s="280"/>
      <c r="AZ15" s="278"/>
      <c r="BA15" s="281"/>
      <c r="BB15" s="278"/>
      <c r="BC15" s="280"/>
      <c r="BD15" s="278"/>
      <c r="BE15" s="279"/>
      <c r="BF15" s="277"/>
      <c r="BG15" s="280"/>
      <c r="BH15" s="280"/>
      <c r="BI15" s="279"/>
      <c r="BJ15" s="277"/>
      <c r="BK15" s="280"/>
      <c r="BL15" s="281"/>
      <c r="BM15" s="282">
        <f t="shared" si="6"/>
        <v>0</v>
      </c>
      <c r="BN15" s="73"/>
      <c r="BO15" s="73"/>
      <c r="BP15" s="76" t="s">
        <v>112</v>
      </c>
      <c r="BQ15" s="283" t="s">
        <v>4</v>
      </c>
      <c r="BR15" s="95"/>
      <c r="BS15" s="96"/>
      <c r="BT15" s="95"/>
      <c r="BU15" s="96"/>
      <c r="BV15" s="95"/>
      <c r="BW15" s="97">
        <v>1</v>
      </c>
      <c r="BX15" s="92">
        <f t="shared" si="7"/>
        <v>1</v>
      </c>
      <c r="BY15" s="73"/>
      <c r="BZ15" s="247"/>
      <c r="CA15" s="76"/>
      <c r="CB15" s="283" t="s">
        <v>4</v>
      </c>
      <c r="CC15" s="284"/>
      <c r="CD15" s="285"/>
      <c r="CE15" s="284"/>
      <c r="CF15" s="285"/>
      <c r="CG15" s="284"/>
      <c r="CH15" s="286"/>
      <c r="CI15" s="268">
        <f t="shared" si="1"/>
        <v>0</v>
      </c>
      <c r="CJ15" s="73"/>
      <c r="CK15" s="73"/>
    </row>
    <row r="16" spans="2:89" ht="15.75" customHeight="1" thickBot="1" x14ac:dyDescent="0.25">
      <c r="B16" s="211"/>
      <c r="C16" s="195" t="s">
        <v>5</v>
      </c>
      <c r="D16" s="212">
        <f>D14+D15</f>
        <v>0</v>
      </c>
      <c r="E16" s="213">
        <f t="shared" ref="E16:Z16" si="11">E14+E15</f>
        <v>0</v>
      </c>
      <c r="F16" s="214">
        <f t="shared" si="11"/>
        <v>0</v>
      </c>
      <c r="G16" s="215">
        <f t="shared" si="11"/>
        <v>0</v>
      </c>
      <c r="H16" s="212">
        <f t="shared" si="11"/>
        <v>0</v>
      </c>
      <c r="I16" s="216">
        <f t="shared" si="11"/>
        <v>0</v>
      </c>
      <c r="J16" s="214">
        <f t="shared" si="11"/>
        <v>0</v>
      </c>
      <c r="K16" s="215">
        <f t="shared" si="11"/>
        <v>0</v>
      </c>
      <c r="L16" s="212">
        <f t="shared" si="11"/>
        <v>1</v>
      </c>
      <c r="M16" s="216">
        <f t="shared" si="11"/>
        <v>0</v>
      </c>
      <c r="N16" s="214">
        <f t="shared" si="11"/>
        <v>0</v>
      </c>
      <c r="O16" s="217">
        <f t="shared" si="11"/>
        <v>0</v>
      </c>
      <c r="P16" s="214">
        <f t="shared" si="11"/>
        <v>0</v>
      </c>
      <c r="Q16" s="216">
        <f t="shared" si="11"/>
        <v>7</v>
      </c>
      <c r="R16" s="214">
        <f t="shared" si="11"/>
        <v>0</v>
      </c>
      <c r="S16" s="215">
        <f t="shared" si="11"/>
        <v>0</v>
      </c>
      <c r="T16" s="213">
        <f t="shared" si="11"/>
        <v>0</v>
      </c>
      <c r="U16" s="216">
        <f t="shared" si="11"/>
        <v>0</v>
      </c>
      <c r="V16" s="216">
        <f t="shared" si="11"/>
        <v>0</v>
      </c>
      <c r="W16" s="215">
        <f t="shared" si="11"/>
        <v>1</v>
      </c>
      <c r="X16" s="213">
        <f t="shared" si="11"/>
        <v>0</v>
      </c>
      <c r="Y16" s="216">
        <f t="shared" si="11"/>
        <v>0</v>
      </c>
      <c r="Z16" s="217">
        <f t="shared" si="11"/>
        <v>0</v>
      </c>
      <c r="AA16" s="218">
        <f t="shared" si="5"/>
        <v>9</v>
      </c>
      <c r="AD16" s="272"/>
      <c r="AE16" s="273" t="s">
        <v>5</v>
      </c>
      <c r="AF16" s="274">
        <f>SUM(AF14:AF15)</f>
        <v>0</v>
      </c>
      <c r="AG16" s="274">
        <f>SUM(AG14:AG15)</f>
        <v>1</v>
      </c>
      <c r="AH16" s="274">
        <f>SUM(AH14:AH15)</f>
        <v>7</v>
      </c>
      <c r="AI16" s="274">
        <f>SUM(AI14:AI15)</f>
        <v>1</v>
      </c>
      <c r="AJ16" s="274">
        <f>SUM(AJ14:AJ15)</f>
        <v>0</v>
      </c>
      <c r="AK16" s="275">
        <f t="shared" si="0"/>
        <v>9</v>
      </c>
      <c r="AL16" s="73"/>
      <c r="AM16" s="73"/>
      <c r="AN16" s="211"/>
      <c r="AO16" s="195" t="s">
        <v>5</v>
      </c>
      <c r="AP16" s="288">
        <f>AP14+AP15</f>
        <v>0</v>
      </c>
      <c r="AQ16" s="289">
        <f t="shared" ref="AQ16:BL16" si="12">AQ14+AQ15</f>
        <v>0</v>
      </c>
      <c r="AR16" s="290">
        <f t="shared" si="12"/>
        <v>0</v>
      </c>
      <c r="AS16" s="291">
        <f t="shared" si="12"/>
        <v>0</v>
      </c>
      <c r="AT16" s="288">
        <f t="shared" si="12"/>
        <v>0</v>
      </c>
      <c r="AU16" s="292">
        <f t="shared" si="12"/>
        <v>0</v>
      </c>
      <c r="AV16" s="290">
        <f t="shared" si="12"/>
        <v>0</v>
      </c>
      <c r="AW16" s="291">
        <f t="shared" si="12"/>
        <v>0</v>
      </c>
      <c r="AX16" s="288">
        <f t="shared" si="12"/>
        <v>0</v>
      </c>
      <c r="AY16" s="292">
        <f t="shared" si="12"/>
        <v>0</v>
      </c>
      <c r="AZ16" s="290">
        <f t="shared" si="12"/>
        <v>0</v>
      </c>
      <c r="BA16" s="293">
        <f t="shared" si="12"/>
        <v>0</v>
      </c>
      <c r="BB16" s="290">
        <f t="shared" si="12"/>
        <v>0</v>
      </c>
      <c r="BC16" s="292">
        <f t="shared" si="12"/>
        <v>0</v>
      </c>
      <c r="BD16" s="290">
        <f t="shared" si="12"/>
        <v>0</v>
      </c>
      <c r="BE16" s="291">
        <f t="shared" si="12"/>
        <v>0</v>
      </c>
      <c r="BF16" s="289">
        <f t="shared" si="12"/>
        <v>0</v>
      </c>
      <c r="BG16" s="292">
        <f t="shared" si="12"/>
        <v>0</v>
      </c>
      <c r="BH16" s="292">
        <f t="shared" si="12"/>
        <v>0</v>
      </c>
      <c r="BI16" s="291">
        <f t="shared" si="12"/>
        <v>0</v>
      </c>
      <c r="BJ16" s="289">
        <f t="shared" si="12"/>
        <v>0</v>
      </c>
      <c r="BK16" s="292">
        <f t="shared" si="12"/>
        <v>0</v>
      </c>
      <c r="BL16" s="293">
        <f t="shared" si="12"/>
        <v>0</v>
      </c>
      <c r="BM16" s="294">
        <f t="shared" si="6"/>
        <v>0</v>
      </c>
      <c r="BN16" s="73"/>
      <c r="BO16" s="73"/>
      <c r="BP16" s="78"/>
      <c r="BQ16" s="311" t="s">
        <v>5</v>
      </c>
      <c r="BR16" s="104">
        <f t="shared" ref="BR16:BW16" si="13">BR14+BR15</f>
        <v>1</v>
      </c>
      <c r="BS16" s="104">
        <f t="shared" si="13"/>
        <v>0</v>
      </c>
      <c r="BT16" s="104">
        <f t="shared" si="13"/>
        <v>0</v>
      </c>
      <c r="BU16" s="104">
        <f t="shared" si="13"/>
        <v>0</v>
      </c>
      <c r="BV16" s="104">
        <f t="shared" si="13"/>
        <v>1</v>
      </c>
      <c r="BW16" s="104">
        <f t="shared" si="13"/>
        <v>1</v>
      </c>
      <c r="BX16" s="92">
        <f t="shared" si="7"/>
        <v>3</v>
      </c>
      <c r="BY16" s="73"/>
      <c r="BZ16" s="73"/>
      <c r="CA16" s="78"/>
      <c r="CB16" s="311" t="s">
        <v>5</v>
      </c>
      <c r="CC16" s="312"/>
      <c r="CD16" s="313"/>
      <c r="CE16" s="312"/>
      <c r="CF16" s="313"/>
      <c r="CG16" s="312"/>
      <c r="CH16" s="314"/>
      <c r="CI16" s="268">
        <f t="shared" si="1"/>
        <v>0</v>
      </c>
      <c r="CJ16" s="73"/>
      <c r="CK16" s="73"/>
    </row>
    <row r="17" spans="2:89" ht="15.75" customHeight="1" thickBot="1" x14ac:dyDescent="0.25">
      <c r="B17" s="194" t="s">
        <v>105</v>
      </c>
      <c r="C17" s="195" t="s">
        <v>3</v>
      </c>
      <c r="D17" s="196"/>
      <c r="E17" s="197"/>
      <c r="F17" s="198"/>
      <c r="G17" s="199"/>
      <c r="H17" s="196"/>
      <c r="I17" s="200"/>
      <c r="J17" s="198"/>
      <c r="K17" s="199"/>
      <c r="L17" s="196"/>
      <c r="M17" s="200"/>
      <c r="N17" s="198"/>
      <c r="O17" s="201"/>
      <c r="P17" s="198"/>
      <c r="Q17" s="200">
        <v>5</v>
      </c>
      <c r="R17" s="198"/>
      <c r="S17" s="199"/>
      <c r="T17" s="219"/>
      <c r="U17" s="220"/>
      <c r="V17" s="220">
        <v>2</v>
      </c>
      <c r="W17" s="221"/>
      <c r="X17" s="219"/>
      <c r="Y17" s="220"/>
      <c r="Z17" s="222">
        <v>1</v>
      </c>
      <c r="AA17" s="202">
        <f t="shared" si="5"/>
        <v>8</v>
      </c>
      <c r="AD17" s="248" t="s">
        <v>105</v>
      </c>
      <c r="AE17" s="249" t="s">
        <v>3</v>
      </c>
      <c r="AF17" s="250"/>
      <c r="AG17" s="250">
        <v>2</v>
      </c>
      <c r="AH17" s="250">
        <v>3</v>
      </c>
      <c r="AI17" s="250">
        <v>3</v>
      </c>
      <c r="AJ17" s="250"/>
      <c r="AK17" s="251">
        <f t="shared" si="0"/>
        <v>8</v>
      </c>
      <c r="AL17" s="73"/>
      <c r="AM17" s="73"/>
      <c r="AN17" s="194"/>
      <c r="AO17" s="195" t="s">
        <v>3</v>
      </c>
      <c r="AP17" s="260"/>
      <c r="AQ17" s="261"/>
      <c r="AR17" s="262"/>
      <c r="AS17" s="263"/>
      <c r="AT17" s="260"/>
      <c r="AU17" s="264"/>
      <c r="AV17" s="262"/>
      <c r="AW17" s="263"/>
      <c r="AX17" s="260"/>
      <c r="AY17" s="264"/>
      <c r="AZ17" s="262"/>
      <c r="BA17" s="265"/>
      <c r="BB17" s="262"/>
      <c r="BC17" s="264"/>
      <c r="BD17" s="262"/>
      <c r="BE17" s="263"/>
      <c r="BF17" s="299"/>
      <c r="BG17" s="300"/>
      <c r="BH17" s="300"/>
      <c r="BI17" s="301"/>
      <c r="BJ17" s="299"/>
      <c r="BK17" s="300"/>
      <c r="BL17" s="302"/>
      <c r="BM17" s="266">
        <f t="shared" si="6"/>
        <v>0</v>
      </c>
      <c r="BN17" s="73"/>
      <c r="BO17" s="73"/>
      <c r="BP17" s="89" t="s">
        <v>113</v>
      </c>
      <c r="BQ17" s="320" t="s">
        <v>3</v>
      </c>
      <c r="BR17" s="110">
        <v>1</v>
      </c>
      <c r="BS17" s="111"/>
      <c r="BT17" s="110"/>
      <c r="BU17" s="111"/>
      <c r="BV17" s="110"/>
      <c r="BW17" s="112"/>
      <c r="BX17" s="92">
        <f t="shared" si="7"/>
        <v>1</v>
      </c>
      <c r="BY17" s="73"/>
      <c r="BZ17" s="73"/>
      <c r="CA17" s="89"/>
      <c r="CB17" s="320" t="s">
        <v>3</v>
      </c>
      <c r="CC17" s="321"/>
      <c r="CD17" s="322"/>
      <c r="CE17" s="321"/>
      <c r="CF17" s="322"/>
      <c r="CG17" s="321"/>
      <c r="CH17" s="323"/>
      <c r="CI17" s="268">
        <f t="shared" si="1"/>
        <v>0</v>
      </c>
      <c r="CJ17" s="73"/>
      <c r="CK17" s="73"/>
    </row>
    <row r="18" spans="2:89" ht="15.75" customHeight="1" thickBot="1" x14ac:dyDescent="0.25">
      <c r="B18" s="203" t="s">
        <v>106</v>
      </c>
      <c r="C18" s="195" t="s">
        <v>4</v>
      </c>
      <c r="D18" s="204"/>
      <c r="E18" s="205"/>
      <c r="F18" s="206"/>
      <c r="G18" s="207"/>
      <c r="H18" s="204"/>
      <c r="I18" s="208"/>
      <c r="J18" s="206"/>
      <c r="K18" s="207"/>
      <c r="L18" s="204"/>
      <c r="M18" s="208"/>
      <c r="N18" s="206"/>
      <c r="O18" s="209"/>
      <c r="P18" s="206"/>
      <c r="Q18" s="208">
        <v>1</v>
      </c>
      <c r="R18" s="206"/>
      <c r="S18" s="207"/>
      <c r="T18" s="205"/>
      <c r="U18" s="208"/>
      <c r="V18" s="208"/>
      <c r="W18" s="207"/>
      <c r="X18" s="205"/>
      <c r="Y18" s="208"/>
      <c r="Z18" s="209"/>
      <c r="AA18" s="210">
        <f t="shared" si="5"/>
        <v>1</v>
      </c>
      <c r="AD18" s="256" t="s">
        <v>106</v>
      </c>
      <c r="AE18" s="257" t="s">
        <v>4</v>
      </c>
      <c r="AF18" s="258"/>
      <c r="AG18" s="258">
        <v>1</v>
      </c>
      <c r="AH18" s="258"/>
      <c r="AI18" s="258"/>
      <c r="AJ18" s="258"/>
      <c r="AK18" s="259">
        <f t="shared" si="0"/>
        <v>1</v>
      </c>
      <c r="AL18" s="73"/>
      <c r="AM18" s="73"/>
      <c r="AN18" s="203"/>
      <c r="AO18" s="195" t="s">
        <v>4</v>
      </c>
      <c r="AP18" s="276"/>
      <c r="AQ18" s="277"/>
      <c r="AR18" s="278"/>
      <c r="AS18" s="279"/>
      <c r="AT18" s="276"/>
      <c r="AU18" s="280"/>
      <c r="AV18" s="278"/>
      <c r="AW18" s="279"/>
      <c r="AX18" s="276"/>
      <c r="AY18" s="280"/>
      <c r="AZ18" s="278"/>
      <c r="BA18" s="281"/>
      <c r="BB18" s="278"/>
      <c r="BC18" s="280"/>
      <c r="BD18" s="278"/>
      <c r="BE18" s="279"/>
      <c r="BF18" s="277"/>
      <c r="BG18" s="280"/>
      <c r="BH18" s="280"/>
      <c r="BI18" s="279"/>
      <c r="BJ18" s="277"/>
      <c r="BK18" s="280"/>
      <c r="BL18" s="281"/>
      <c r="BM18" s="282">
        <f t="shared" si="6"/>
        <v>0</v>
      </c>
      <c r="BN18" s="73"/>
      <c r="BO18" s="73"/>
      <c r="BP18" s="76"/>
      <c r="BQ18" s="324" t="s">
        <v>4</v>
      </c>
      <c r="BR18" s="101"/>
      <c r="BS18" s="102"/>
      <c r="BT18" s="101"/>
      <c r="BU18" s="102"/>
      <c r="BV18" s="101"/>
      <c r="BW18" s="103"/>
      <c r="BX18" s="92">
        <f t="shared" si="7"/>
        <v>0</v>
      </c>
      <c r="BY18" s="73"/>
      <c r="BZ18" s="73"/>
      <c r="CA18" s="76"/>
      <c r="CB18" s="324" t="s">
        <v>4</v>
      </c>
      <c r="CC18" s="304"/>
      <c r="CD18" s="305"/>
      <c r="CE18" s="304"/>
      <c r="CF18" s="305"/>
      <c r="CG18" s="304"/>
      <c r="CH18" s="306"/>
      <c r="CI18" s="268">
        <f t="shared" si="1"/>
        <v>0</v>
      </c>
      <c r="CJ18" s="73"/>
      <c r="CK18" s="73"/>
    </row>
    <row r="19" spans="2:89" ht="15.75" customHeight="1" thickBot="1" x14ac:dyDescent="0.25">
      <c r="B19" s="211"/>
      <c r="C19" s="195" t="s">
        <v>5</v>
      </c>
      <c r="D19" s="212">
        <f>D17+D18</f>
        <v>0</v>
      </c>
      <c r="E19" s="213">
        <f t="shared" ref="E19:Z19" si="14">E17+E18</f>
        <v>0</v>
      </c>
      <c r="F19" s="214">
        <f t="shared" si="14"/>
        <v>0</v>
      </c>
      <c r="G19" s="215">
        <f t="shared" si="14"/>
        <v>0</v>
      </c>
      <c r="H19" s="212">
        <f t="shared" si="14"/>
        <v>0</v>
      </c>
      <c r="I19" s="216">
        <f t="shared" si="14"/>
        <v>0</v>
      </c>
      <c r="J19" s="214">
        <f t="shared" si="14"/>
        <v>0</v>
      </c>
      <c r="K19" s="215">
        <f t="shared" si="14"/>
        <v>0</v>
      </c>
      <c r="L19" s="212">
        <f t="shared" si="14"/>
        <v>0</v>
      </c>
      <c r="M19" s="216">
        <f t="shared" si="14"/>
        <v>0</v>
      </c>
      <c r="N19" s="214">
        <f t="shared" si="14"/>
        <v>0</v>
      </c>
      <c r="O19" s="217">
        <f t="shared" si="14"/>
        <v>0</v>
      </c>
      <c r="P19" s="214">
        <f t="shared" si="14"/>
        <v>0</v>
      </c>
      <c r="Q19" s="216">
        <f t="shared" si="14"/>
        <v>6</v>
      </c>
      <c r="R19" s="214">
        <f t="shared" si="14"/>
        <v>0</v>
      </c>
      <c r="S19" s="215">
        <f t="shared" si="14"/>
        <v>0</v>
      </c>
      <c r="T19" s="223">
        <f t="shared" si="14"/>
        <v>0</v>
      </c>
      <c r="U19" s="224">
        <f t="shared" si="14"/>
        <v>0</v>
      </c>
      <c r="V19" s="224">
        <f t="shared" si="14"/>
        <v>2</v>
      </c>
      <c r="W19" s="225">
        <f t="shared" si="14"/>
        <v>0</v>
      </c>
      <c r="X19" s="223">
        <f t="shared" si="14"/>
        <v>0</v>
      </c>
      <c r="Y19" s="224">
        <f t="shared" si="14"/>
        <v>0</v>
      </c>
      <c r="Z19" s="226">
        <f t="shared" si="14"/>
        <v>1</v>
      </c>
      <c r="AA19" s="218">
        <f t="shared" si="5"/>
        <v>9</v>
      </c>
      <c r="AD19" s="272"/>
      <c r="AE19" s="273" t="s">
        <v>5</v>
      </c>
      <c r="AF19" s="274">
        <f>SUM(AF17:AF18)</f>
        <v>0</v>
      </c>
      <c r="AG19" s="274">
        <f>SUM(AG17:AG18)</f>
        <v>3</v>
      </c>
      <c r="AH19" s="274">
        <f>SUM(AH17:AH18)</f>
        <v>3</v>
      </c>
      <c r="AI19" s="274">
        <f>SUM(AI17:AI18)</f>
        <v>3</v>
      </c>
      <c r="AJ19" s="274">
        <f>SUM(AJ17:AJ18)</f>
        <v>0</v>
      </c>
      <c r="AK19" s="275">
        <f t="shared" si="0"/>
        <v>9</v>
      </c>
      <c r="AL19" s="73"/>
      <c r="AM19" s="73"/>
      <c r="AN19" s="211"/>
      <c r="AO19" s="195" t="s">
        <v>5</v>
      </c>
      <c r="AP19" s="288">
        <f>AP17+AP18</f>
        <v>0</v>
      </c>
      <c r="AQ19" s="289">
        <f t="shared" ref="AQ19:BL19" si="15">AQ17+AQ18</f>
        <v>0</v>
      </c>
      <c r="AR19" s="290">
        <f t="shared" si="15"/>
        <v>0</v>
      </c>
      <c r="AS19" s="291">
        <f t="shared" si="15"/>
        <v>0</v>
      </c>
      <c r="AT19" s="288">
        <f t="shared" si="15"/>
        <v>0</v>
      </c>
      <c r="AU19" s="292">
        <f t="shared" si="15"/>
        <v>0</v>
      </c>
      <c r="AV19" s="290">
        <f t="shared" si="15"/>
        <v>0</v>
      </c>
      <c r="AW19" s="291">
        <f t="shared" si="15"/>
        <v>0</v>
      </c>
      <c r="AX19" s="288">
        <f t="shared" si="15"/>
        <v>0</v>
      </c>
      <c r="AY19" s="292">
        <f t="shared" si="15"/>
        <v>0</v>
      </c>
      <c r="AZ19" s="290">
        <f t="shared" si="15"/>
        <v>0</v>
      </c>
      <c r="BA19" s="293">
        <f t="shared" si="15"/>
        <v>0</v>
      </c>
      <c r="BB19" s="290">
        <f t="shared" si="15"/>
        <v>0</v>
      </c>
      <c r="BC19" s="292">
        <f t="shared" si="15"/>
        <v>0</v>
      </c>
      <c r="BD19" s="290">
        <f t="shared" si="15"/>
        <v>0</v>
      </c>
      <c r="BE19" s="291">
        <f t="shared" si="15"/>
        <v>0</v>
      </c>
      <c r="BF19" s="307">
        <f t="shared" si="15"/>
        <v>0</v>
      </c>
      <c r="BG19" s="308">
        <f t="shared" si="15"/>
        <v>0</v>
      </c>
      <c r="BH19" s="308">
        <f t="shared" si="15"/>
        <v>0</v>
      </c>
      <c r="BI19" s="309">
        <f t="shared" si="15"/>
        <v>0</v>
      </c>
      <c r="BJ19" s="307">
        <f t="shared" si="15"/>
        <v>0</v>
      </c>
      <c r="BK19" s="308">
        <f t="shared" si="15"/>
        <v>0</v>
      </c>
      <c r="BL19" s="310">
        <f t="shared" si="15"/>
        <v>0</v>
      </c>
      <c r="BM19" s="294">
        <f t="shared" si="6"/>
        <v>0</v>
      </c>
      <c r="BN19" s="73"/>
      <c r="BO19" s="73"/>
      <c r="BP19" s="90"/>
      <c r="BQ19" s="295" t="s">
        <v>5</v>
      </c>
      <c r="BR19" s="98">
        <f t="shared" ref="BR19:BW19" si="16">SUM(BR17:BR17)</f>
        <v>1</v>
      </c>
      <c r="BS19" s="98">
        <f t="shared" si="16"/>
        <v>0</v>
      </c>
      <c r="BT19" s="98">
        <f t="shared" si="16"/>
        <v>0</v>
      </c>
      <c r="BU19" s="98">
        <f t="shared" si="16"/>
        <v>0</v>
      </c>
      <c r="BV19" s="98">
        <f t="shared" si="16"/>
        <v>0</v>
      </c>
      <c r="BW19" s="98">
        <f t="shared" si="16"/>
        <v>0</v>
      </c>
      <c r="BX19" s="92">
        <f>SUM(BR19:BW19)</f>
        <v>1</v>
      </c>
      <c r="BY19" s="73"/>
      <c r="BZ19" s="239"/>
      <c r="CA19" s="90"/>
      <c r="CB19" s="295" t="s">
        <v>5</v>
      </c>
      <c r="CC19" s="296"/>
      <c r="CD19" s="297"/>
      <c r="CE19" s="296"/>
      <c r="CF19" s="297"/>
      <c r="CG19" s="296"/>
      <c r="CH19" s="298"/>
      <c r="CI19" s="268">
        <f t="shared" si="1"/>
        <v>0</v>
      </c>
      <c r="CJ19" s="73"/>
      <c r="CK19" s="73"/>
    </row>
    <row r="20" spans="2:89" ht="15.75" customHeight="1" thickBot="1" x14ac:dyDescent="0.25">
      <c r="B20" s="194"/>
      <c r="C20" s="195" t="s">
        <v>3</v>
      </c>
      <c r="D20" s="196"/>
      <c r="E20" s="197"/>
      <c r="F20" s="198"/>
      <c r="G20" s="199"/>
      <c r="H20" s="196"/>
      <c r="I20" s="200"/>
      <c r="J20" s="198"/>
      <c r="K20" s="199"/>
      <c r="L20" s="196">
        <v>1</v>
      </c>
      <c r="M20" s="200"/>
      <c r="N20" s="198"/>
      <c r="O20" s="201"/>
      <c r="P20" s="198"/>
      <c r="Q20" s="200">
        <v>3</v>
      </c>
      <c r="R20" s="198">
        <v>0</v>
      </c>
      <c r="S20" s="199"/>
      <c r="T20" s="197"/>
      <c r="U20" s="200"/>
      <c r="V20" s="200"/>
      <c r="W20" s="199"/>
      <c r="X20" s="197"/>
      <c r="Y20" s="200"/>
      <c r="Z20" s="201">
        <v>1</v>
      </c>
      <c r="AA20" s="202">
        <f t="shared" si="5"/>
        <v>5</v>
      </c>
      <c r="AD20" s="248"/>
      <c r="AE20" s="249" t="s">
        <v>3</v>
      </c>
      <c r="AF20" s="250"/>
      <c r="AG20" s="250"/>
      <c r="AH20" s="250">
        <v>2</v>
      </c>
      <c r="AI20" s="250">
        <v>3</v>
      </c>
      <c r="AJ20" s="250"/>
      <c r="AK20" s="251">
        <f t="shared" si="0"/>
        <v>5</v>
      </c>
      <c r="AL20" s="73"/>
      <c r="AM20" s="73"/>
      <c r="AN20" s="194"/>
      <c r="AO20" s="195" t="s">
        <v>3</v>
      </c>
      <c r="AP20" s="260"/>
      <c r="AQ20" s="261"/>
      <c r="AR20" s="262"/>
      <c r="AS20" s="263"/>
      <c r="AT20" s="260"/>
      <c r="AU20" s="264"/>
      <c r="AV20" s="262"/>
      <c r="AW20" s="263"/>
      <c r="AX20" s="260"/>
      <c r="AY20" s="264"/>
      <c r="AZ20" s="262"/>
      <c r="BA20" s="265"/>
      <c r="BB20" s="262">
        <v>0</v>
      </c>
      <c r="BC20" s="264">
        <v>0</v>
      </c>
      <c r="BD20" s="262">
        <v>0</v>
      </c>
      <c r="BE20" s="263"/>
      <c r="BF20" s="261"/>
      <c r="BG20" s="264"/>
      <c r="BH20" s="264"/>
      <c r="BI20" s="263"/>
      <c r="BJ20" s="261"/>
      <c r="BK20" s="264"/>
      <c r="BL20" s="265"/>
      <c r="BM20" s="266">
        <f t="shared" si="6"/>
        <v>0</v>
      </c>
      <c r="BN20" s="73"/>
      <c r="BO20" s="73"/>
      <c r="BP20" s="75" t="s">
        <v>114</v>
      </c>
      <c r="BQ20" s="267" t="s">
        <v>3</v>
      </c>
      <c r="BR20" s="107"/>
      <c r="BS20" s="108"/>
      <c r="BT20" s="107"/>
      <c r="BU20" s="108"/>
      <c r="BV20" s="107"/>
      <c r="BW20" s="109"/>
      <c r="BX20" s="92">
        <f t="shared" si="7"/>
        <v>0</v>
      </c>
      <c r="BY20" s="73"/>
      <c r="BZ20" s="73"/>
      <c r="CA20" s="75"/>
      <c r="CB20" s="267" t="s">
        <v>3</v>
      </c>
      <c r="CC20" s="316"/>
      <c r="CD20" s="317"/>
      <c r="CE20" s="316"/>
      <c r="CF20" s="317"/>
      <c r="CG20" s="316"/>
      <c r="CH20" s="318"/>
      <c r="CI20" s="268">
        <f t="shared" si="1"/>
        <v>0</v>
      </c>
      <c r="CJ20" s="73"/>
      <c r="CK20" s="73"/>
    </row>
    <row r="21" spans="2:89" ht="15.75" customHeight="1" thickBot="1" x14ac:dyDescent="0.25">
      <c r="B21" s="203" t="s">
        <v>107</v>
      </c>
      <c r="C21" s="195" t="s">
        <v>4</v>
      </c>
      <c r="D21" s="204"/>
      <c r="E21" s="205"/>
      <c r="F21" s="206"/>
      <c r="G21" s="207"/>
      <c r="H21" s="204"/>
      <c r="I21" s="208"/>
      <c r="J21" s="206"/>
      <c r="K21" s="207"/>
      <c r="L21" s="204"/>
      <c r="M21" s="208"/>
      <c r="N21" s="206"/>
      <c r="O21" s="209"/>
      <c r="P21" s="206"/>
      <c r="Q21" s="208">
        <v>2</v>
      </c>
      <c r="R21" s="206"/>
      <c r="S21" s="207"/>
      <c r="T21" s="205"/>
      <c r="U21" s="208"/>
      <c r="V21" s="208"/>
      <c r="W21" s="207"/>
      <c r="X21" s="205"/>
      <c r="Y21" s="208"/>
      <c r="Z21" s="209"/>
      <c r="AA21" s="210">
        <f t="shared" si="5"/>
        <v>2</v>
      </c>
      <c r="AD21" s="256" t="s">
        <v>107</v>
      </c>
      <c r="AE21" s="257" t="s">
        <v>4</v>
      </c>
      <c r="AF21" s="258"/>
      <c r="AG21" s="258"/>
      <c r="AH21" s="258">
        <v>2</v>
      </c>
      <c r="AI21" s="258"/>
      <c r="AJ21" s="258"/>
      <c r="AK21" s="259">
        <f t="shared" si="0"/>
        <v>2</v>
      </c>
      <c r="AL21" s="73"/>
      <c r="AM21" s="73"/>
      <c r="AN21" s="203"/>
      <c r="AO21" s="195" t="s">
        <v>4</v>
      </c>
      <c r="AP21" s="276"/>
      <c r="AQ21" s="277"/>
      <c r="AR21" s="278"/>
      <c r="AS21" s="279"/>
      <c r="AT21" s="276"/>
      <c r="AU21" s="280"/>
      <c r="AV21" s="278"/>
      <c r="AW21" s="279"/>
      <c r="AX21" s="276"/>
      <c r="AY21" s="280"/>
      <c r="AZ21" s="278"/>
      <c r="BA21" s="281"/>
      <c r="BB21" s="278"/>
      <c r="BC21" s="280"/>
      <c r="BD21" s="278"/>
      <c r="BE21" s="279"/>
      <c r="BF21" s="277"/>
      <c r="BG21" s="280"/>
      <c r="BH21" s="280"/>
      <c r="BI21" s="279"/>
      <c r="BJ21" s="277"/>
      <c r="BK21" s="280"/>
      <c r="BL21" s="281"/>
      <c r="BM21" s="282">
        <f t="shared" si="6"/>
        <v>0</v>
      </c>
      <c r="BN21" s="73"/>
      <c r="BO21" s="73"/>
      <c r="BP21" s="76"/>
      <c r="BQ21" s="283" t="s">
        <v>4</v>
      </c>
      <c r="BR21" s="95">
        <v>1</v>
      </c>
      <c r="BS21" s="96"/>
      <c r="BT21" s="95"/>
      <c r="BU21" s="96"/>
      <c r="BV21" s="95"/>
      <c r="BW21" s="97"/>
      <c r="BX21" s="92">
        <f t="shared" si="7"/>
        <v>1</v>
      </c>
      <c r="BY21" s="73"/>
      <c r="BZ21" s="325"/>
      <c r="CA21" s="76"/>
      <c r="CB21" s="283" t="s">
        <v>4</v>
      </c>
      <c r="CC21" s="284"/>
      <c r="CD21" s="285"/>
      <c r="CE21" s="284"/>
      <c r="CF21" s="285"/>
      <c r="CG21" s="284"/>
      <c r="CH21" s="286"/>
      <c r="CI21" s="268">
        <f t="shared" si="1"/>
        <v>0</v>
      </c>
      <c r="CJ21" s="73"/>
      <c r="CK21" s="73"/>
    </row>
    <row r="22" spans="2:89" ht="15.75" customHeight="1" thickBot="1" x14ac:dyDescent="0.25">
      <c r="B22" s="211"/>
      <c r="C22" s="195" t="s">
        <v>5</v>
      </c>
      <c r="D22" s="212">
        <f>D20+D21</f>
        <v>0</v>
      </c>
      <c r="E22" s="213">
        <f t="shared" ref="E22:Z22" si="17">E20+E21</f>
        <v>0</v>
      </c>
      <c r="F22" s="214">
        <f t="shared" si="17"/>
        <v>0</v>
      </c>
      <c r="G22" s="215">
        <f t="shared" si="17"/>
        <v>0</v>
      </c>
      <c r="H22" s="212">
        <f t="shared" si="17"/>
        <v>0</v>
      </c>
      <c r="I22" s="216">
        <f t="shared" si="17"/>
        <v>0</v>
      </c>
      <c r="J22" s="214">
        <f t="shared" si="17"/>
        <v>0</v>
      </c>
      <c r="K22" s="215">
        <f t="shared" si="17"/>
        <v>0</v>
      </c>
      <c r="L22" s="212">
        <f t="shared" si="17"/>
        <v>1</v>
      </c>
      <c r="M22" s="216">
        <f t="shared" si="17"/>
        <v>0</v>
      </c>
      <c r="N22" s="214">
        <f t="shared" si="17"/>
        <v>0</v>
      </c>
      <c r="O22" s="217">
        <f t="shared" si="17"/>
        <v>0</v>
      </c>
      <c r="P22" s="214">
        <f t="shared" si="17"/>
        <v>0</v>
      </c>
      <c r="Q22" s="216">
        <f t="shared" si="17"/>
        <v>5</v>
      </c>
      <c r="R22" s="214">
        <f t="shared" si="17"/>
        <v>0</v>
      </c>
      <c r="S22" s="215">
        <f t="shared" si="17"/>
        <v>0</v>
      </c>
      <c r="T22" s="213">
        <f t="shared" si="17"/>
        <v>0</v>
      </c>
      <c r="U22" s="216">
        <f t="shared" si="17"/>
        <v>0</v>
      </c>
      <c r="V22" s="216">
        <f t="shared" si="17"/>
        <v>0</v>
      </c>
      <c r="W22" s="215">
        <f t="shared" si="17"/>
        <v>0</v>
      </c>
      <c r="X22" s="213">
        <f t="shared" si="17"/>
        <v>0</v>
      </c>
      <c r="Y22" s="216">
        <f t="shared" si="17"/>
        <v>0</v>
      </c>
      <c r="Z22" s="217">
        <f t="shared" si="17"/>
        <v>1</v>
      </c>
      <c r="AA22" s="218">
        <f t="shared" si="5"/>
        <v>7</v>
      </c>
      <c r="AD22" s="272"/>
      <c r="AE22" s="273" t="s">
        <v>5</v>
      </c>
      <c r="AF22" s="274">
        <f>SUM(AF20:AF21)</f>
        <v>0</v>
      </c>
      <c r="AG22" s="274">
        <f>SUM(AG20:AG21)</f>
        <v>0</v>
      </c>
      <c r="AH22" s="274">
        <f>SUM(AH20:AH21)</f>
        <v>4</v>
      </c>
      <c r="AI22" s="274">
        <f>SUM(AI20:AI21)</f>
        <v>3</v>
      </c>
      <c r="AJ22" s="274">
        <f>SUM(AJ20:AJ21)</f>
        <v>0</v>
      </c>
      <c r="AK22" s="275">
        <f t="shared" si="0"/>
        <v>7</v>
      </c>
      <c r="AL22" s="73"/>
      <c r="AM22" s="73"/>
      <c r="AN22" s="211"/>
      <c r="AO22" s="195" t="s">
        <v>5</v>
      </c>
      <c r="AP22" s="288">
        <f>AP20+AP21</f>
        <v>0</v>
      </c>
      <c r="AQ22" s="289">
        <f t="shared" ref="AQ22:BL22" si="18">AQ20+AQ21</f>
        <v>0</v>
      </c>
      <c r="AR22" s="290">
        <f t="shared" si="18"/>
        <v>0</v>
      </c>
      <c r="AS22" s="291">
        <f t="shared" si="18"/>
        <v>0</v>
      </c>
      <c r="AT22" s="288">
        <f t="shared" si="18"/>
        <v>0</v>
      </c>
      <c r="AU22" s="292">
        <f t="shared" si="18"/>
        <v>0</v>
      </c>
      <c r="AV22" s="290">
        <f t="shared" si="18"/>
        <v>0</v>
      </c>
      <c r="AW22" s="291">
        <f t="shared" si="18"/>
        <v>0</v>
      </c>
      <c r="AX22" s="288">
        <f t="shared" si="18"/>
        <v>0</v>
      </c>
      <c r="AY22" s="292">
        <f t="shared" si="18"/>
        <v>0</v>
      </c>
      <c r="AZ22" s="290">
        <f t="shared" si="18"/>
        <v>0</v>
      </c>
      <c r="BA22" s="293">
        <f t="shared" si="18"/>
        <v>0</v>
      </c>
      <c r="BB22" s="290">
        <f t="shared" si="18"/>
        <v>0</v>
      </c>
      <c r="BC22" s="292">
        <f t="shared" si="18"/>
        <v>0</v>
      </c>
      <c r="BD22" s="290">
        <f t="shared" si="18"/>
        <v>0</v>
      </c>
      <c r="BE22" s="291">
        <f t="shared" si="18"/>
        <v>0</v>
      </c>
      <c r="BF22" s="289">
        <f t="shared" si="18"/>
        <v>0</v>
      </c>
      <c r="BG22" s="292">
        <f t="shared" si="18"/>
        <v>0</v>
      </c>
      <c r="BH22" s="292">
        <f t="shared" si="18"/>
        <v>0</v>
      </c>
      <c r="BI22" s="291">
        <f t="shared" si="18"/>
        <v>0</v>
      </c>
      <c r="BJ22" s="289">
        <f t="shared" si="18"/>
        <v>0</v>
      </c>
      <c r="BK22" s="292">
        <f t="shared" si="18"/>
        <v>0</v>
      </c>
      <c r="BL22" s="293">
        <f t="shared" si="18"/>
        <v>0</v>
      </c>
      <c r="BM22" s="294">
        <f t="shared" si="6"/>
        <v>0</v>
      </c>
      <c r="BN22" s="73"/>
      <c r="BO22" s="73"/>
      <c r="BP22" s="78"/>
      <c r="BQ22" s="295" t="s">
        <v>5</v>
      </c>
      <c r="BR22" s="98">
        <f>SUM(BR20:BR21)</f>
        <v>1</v>
      </c>
      <c r="BS22" s="99"/>
      <c r="BT22" s="98"/>
      <c r="BU22" s="99"/>
      <c r="BV22" s="98"/>
      <c r="BW22" s="100"/>
      <c r="BX22" s="92">
        <f t="shared" si="7"/>
        <v>1</v>
      </c>
      <c r="BY22" s="73"/>
      <c r="BZ22" s="319"/>
      <c r="CA22" s="78"/>
      <c r="CB22" s="295" t="s">
        <v>5</v>
      </c>
      <c r="CC22" s="296"/>
      <c r="CD22" s="297"/>
      <c r="CE22" s="296"/>
      <c r="CF22" s="297"/>
      <c r="CG22" s="296"/>
      <c r="CH22" s="298"/>
      <c r="CI22" s="268">
        <f t="shared" si="1"/>
        <v>0</v>
      </c>
      <c r="CJ22" s="73"/>
      <c r="CK22" s="247"/>
    </row>
    <row r="23" spans="2:89" ht="15.75" customHeight="1" thickBot="1" x14ac:dyDescent="0.25">
      <c r="B23" s="194"/>
      <c r="C23" s="195" t="s">
        <v>3</v>
      </c>
      <c r="D23" s="196"/>
      <c r="E23" s="197"/>
      <c r="F23" s="198"/>
      <c r="G23" s="199"/>
      <c r="H23" s="196"/>
      <c r="I23" s="200"/>
      <c r="J23" s="198"/>
      <c r="K23" s="199"/>
      <c r="L23" s="196"/>
      <c r="M23" s="200"/>
      <c r="N23" s="198"/>
      <c r="O23" s="201"/>
      <c r="P23" s="198"/>
      <c r="Q23" s="200"/>
      <c r="R23" s="198"/>
      <c r="S23" s="199"/>
      <c r="T23" s="219"/>
      <c r="U23" s="220"/>
      <c r="V23" s="220">
        <v>5</v>
      </c>
      <c r="W23" s="221"/>
      <c r="X23" s="219"/>
      <c r="Y23" s="220"/>
      <c r="Z23" s="222">
        <v>1</v>
      </c>
      <c r="AA23" s="202">
        <f t="shared" si="5"/>
        <v>6</v>
      </c>
      <c r="AD23" s="248"/>
      <c r="AE23" s="249" t="s">
        <v>3</v>
      </c>
      <c r="AF23" s="250"/>
      <c r="AG23" s="250"/>
      <c r="AH23" s="250">
        <v>3</v>
      </c>
      <c r="AI23" s="250">
        <v>3</v>
      </c>
      <c r="AJ23" s="250"/>
      <c r="AK23" s="251">
        <f t="shared" si="0"/>
        <v>6</v>
      </c>
      <c r="AL23" s="73"/>
      <c r="AM23" s="73"/>
      <c r="AN23" s="194"/>
      <c r="AO23" s="195" t="s">
        <v>3</v>
      </c>
      <c r="AP23" s="260"/>
      <c r="AQ23" s="261"/>
      <c r="AR23" s="262"/>
      <c r="AS23" s="263"/>
      <c r="AT23" s="260"/>
      <c r="AU23" s="264"/>
      <c r="AV23" s="262"/>
      <c r="AW23" s="263"/>
      <c r="AX23" s="260"/>
      <c r="AY23" s="264"/>
      <c r="AZ23" s="262"/>
      <c r="BA23" s="265"/>
      <c r="BB23" s="262"/>
      <c r="BC23" s="264"/>
      <c r="BD23" s="262"/>
      <c r="BE23" s="263"/>
      <c r="BF23" s="299"/>
      <c r="BG23" s="300"/>
      <c r="BH23" s="300"/>
      <c r="BI23" s="301"/>
      <c r="BJ23" s="299"/>
      <c r="BK23" s="300"/>
      <c r="BL23" s="302"/>
      <c r="BM23" s="266">
        <f t="shared" si="6"/>
        <v>0</v>
      </c>
      <c r="BN23" s="73"/>
      <c r="BO23" s="73"/>
      <c r="BP23" s="89" t="s">
        <v>115</v>
      </c>
      <c r="BQ23" s="303" t="s">
        <v>3</v>
      </c>
      <c r="BR23" s="101"/>
      <c r="BS23" s="102"/>
      <c r="BT23" s="101"/>
      <c r="BU23" s="102"/>
      <c r="BV23" s="101"/>
      <c r="BW23" s="103">
        <v>6</v>
      </c>
      <c r="BX23" s="92">
        <f t="shared" si="7"/>
        <v>6</v>
      </c>
      <c r="BY23" s="73"/>
      <c r="BZ23" s="247"/>
      <c r="CA23" s="89"/>
      <c r="CB23" s="303" t="s">
        <v>3</v>
      </c>
      <c r="CC23" s="304"/>
      <c r="CD23" s="305"/>
      <c r="CE23" s="304"/>
      <c r="CF23" s="305"/>
      <c r="CG23" s="304"/>
      <c r="CH23" s="306"/>
      <c r="CI23" s="268">
        <f t="shared" si="1"/>
        <v>0</v>
      </c>
      <c r="CJ23" s="73"/>
      <c r="CK23" s="247"/>
    </row>
    <row r="24" spans="2:89" ht="16" thickBot="1" x14ac:dyDescent="0.25">
      <c r="B24" s="203" t="s">
        <v>108</v>
      </c>
      <c r="C24" s="195" t="s">
        <v>4</v>
      </c>
      <c r="D24" s="204"/>
      <c r="E24" s="205"/>
      <c r="F24" s="206"/>
      <c r="G24" s="207"/>
      <c r="H24" s="204"/>
      <c r="I24" s="208"/>
      <c r="J24" s="206"/>
      <c r="K24" s="207"/>
      <c r="L24" s="204"/>
      <c r="M24" s="208"/>
      <c r="N24" s="206"/>
      <c r="O24" s="209"/>
      <c r="P24" s="206"/>
      <c r="Q24" s="208"/>
      <c r="R24" s="206"/>
      <c r="S24" s="207"/>
      <c r="T24" s="205"/>
      <c r="U24" s="208"/>
      <c r="V24" s="208">
        <v>1</v>
      </c>
      <c r="W24" s="207"/>
      <c r="X24" s="205"/>
      <c r="Y24" s="208"/>
      <c r="Z24" s="209"/>
      <c r="AA24" s="210">
        <f t="shared" si="5"/>
        <v>1</v>
      </c>
      <c r="AD24" s="256" t="s">
        <v>108</v>
      </c>
      <c r="AE24" s="257" t="s">
        <v>4</v>
      </c>
      <c r="AF24" s="258"/>
      <c r="AG24" s="258"/>
      <c r="AH24" s="258">
        <v>1</v>
      </c>
      <c r="AI24" s="258"/>
      <c r="AJ24" s="258"/>
      <c r="AK24" s="259">
        <f t="shared" si="0"/>
        <v>1</v>
      </c>
      <c r="AL24" s="73"/>
      <c r="AM24" s="73"/>
      <c r="AN24" s="203"/>
      <c r="AO24" s="195" t="s">
        <v>4</v>
      </c>
      <c r="AP24" s="276"/>
      <c r="AQ24" s="277"/>
      <c r="AR24" s="278"/>
      <c r="AS24" s="279"/>
      <c r="AT24" s="276"/>
      <c r="AU24" s="280"/>
      <c r="AV24" s="278"/>
      <c r="AW24" s="279"/>
      <c r="AX24" s="276"/>
      <c r="AY24" s="280"/>
      <c r="AZ24" s="278"/>
      <c r="BA24" s="281"/>
      <c r="BB24" s="278"/>
      <c r="BC24" s="280"/>
      <c r="BD24" s="278"/>
      <c r="BE24" s="279"/>
      <c r="BF24" s="277"/>
      <c r="BG24" s="280"/>
      <c r="BH24" s="280"/>
      <c r="BI24" s="279"/>
      <c r="BJ24" s="277"/>
      <c r="BK24" s="280"/>
      <c r="BL24" s="281"/>
      <c r="BM24" s="282">
        <f t="shared" si="6"/>
        <v>0</v>
      </c>
      <c r="BN24" s="73"/>
      <c r="BO24" s="73"/>
      <c r="BP24" s="90"/>
      <c r="BQ24" s="283" t="s">
        <v>4</v>
      </c>
      <c r="BR24" s="104"/>
      <c r="BS24" s="105"/>
      <c r="BT24" s="104"/>
      <c r="BU24" s="105"/>
      <c r="BV24" s="104"/>
      <c r="BW24" s="106"/>
      <c r="BX24" s="92">
        <f t="shared" si="7"/>
        <v>0</v>
      </c>
      <c r="BY24" s="73"/>
      <c r="BZ24" s="247"/>
      <c r="CA24" s="90"/>
      <c r="CB24" s="283" t="s">
        <v>4</v>
      </c>
      <c r="CC24" s="312"/>
      <c r="CD24" s="313"/>
      <c r="CE24" s="312"/>
      <c r="CF24" s="313"/>
      <c r="CG24" s="312"/>
      <c r="CH24" s="314"/>
      <c r="CI24" s="268">
        <f t="shared" si="1"/>
        <v>0</v>
      </c>
      <c r="CJ24" s="73"/>
      <c r="CK24" s="247"/>
    </row>
    <row r="25" spans="2:89" ht="16" thickBot="1" x14ac:dyDescent="0.25">
      <c r="B25" s="211"/>
      <c r="C25" s="195" t="s">
        <v>5</v>
      </c>
      <c r="D25" s="212">
        <f>D23+D24</f>
        <v>0</v>
      </c>
      <c r="E25" s="213">
        <f t="shared" ref="E25:Z25" si="19">E23+E24</f>
        <v>0</v>
      </c>
      <c r="F25" s="214">
        <f t="shared" si="19"/>
        <v>0</v>
      </c>
      <c r="G25" s="215">
        <f t="shared" si="19"/>
        <v>0</v>
      </c>
      <c r="H25" s="212">
        <f t="shared" si="19"/>
        <v>0</v>
      </c>
      <c r="I25" s="216">
        <f t="shared" si="19"/>
        <v>0</v>
      </c>
      <c r="J25" s="214">
        <f t="shared" si="19"/>
        <v>0</v>
      </c>
      <c r="K25" s="215">
        <f t="shared" si="19"/>
        <v>0</v>
      </c>
      <c r="L25" s="212">
        <f t="shared" si="19"/>
        <v>0</v>
      </c>
      <c r="M25" s="216">
        <f t="shared" si="19"/>
        <v>0</v>
      </c>
      <c r="N25" s="214">
        <f t="shared" si="19"/>
        <v>0</v>
      </c>
      <c r="O25" s="217">
        <f t="shared" si="19"/>
        <v>0</v>
      </c>
      <c r="P25" s="214">
        <f t="shared" si="19"/>
        <v>0</v>
      </c>
      <c r="Q25" s="216">
        <f t="shared" si="19"/>
        <v>0</v>
      </c>
      <c r="R25" s="214">
        <f t="shared" si="19"/>
        <v>0</v>
      </c>
      <c r="S25" s="215">
        <f t="shared" si="19"/>
        <v>0</v>
      </c>
      <c r="T25" s="223">
        <f t="shared" si="19"/>
        <v>0</v>
      </c>
      <c r="U25" s="224">
        <f t="shared" si="19"/>
        <v>0</v>
      </c>
      <c r="V25" s="224">
        <f t="shared" si="19"/>
        <v>6</v>
      </c>
      <c r="W25" s="225">
        <f t="shared" si="19"/>
        <v>0</v>
      </c>
      <c r="X25" s="223">
        <f t="shared" si="19"/>
        <v>0</v>
      </c>
      <c r="Y25" s="224">
        <f t="shared" si="19"/>
        <v>0</v>
      </c>
      <c r="Z25" s="226">
        <f t="shared" si="19"/>
        <v>1</v>
      </c>
      <c r="AA25" s="218">
        <f t="shared" si="5"/>
        <v>7</v>
      </c>
      <c r="AD25" s="272"/>
      <c r="AE25" s="273" t="s">
        <v>5</v>
      </c>
      <c r="AF25" s="274">
        <f>SUM(AF23:AF24)</f>
        <v>0</v>
      </c>
      <c r="AG25" s="274">
        <f>SUM(AG23:AG24)</f>
        <v>0</v>
      </c>
      <c r="AH25" s="274">
        <f>SUM(AH23:AH24)</f>
        <v>4</v>
      </c>
      <c r="AI25" s="274">
        <f>SUM(AI23:AI24)</f>
        <v>3</v>
      </c>
      <c r="AJ25" s="274">
        <f>SUM(AJ23:AJ24)</f>
        <v>0</v>
      </c>
      <c r="AK25" s="275">
        <f t="shared" si="0"/>
        <v>7</v>
      </c>
      <c r="AL25" s="73"/>
      <c r="AM25" s="73"/>
      <c r="AN25" s="211"/>
      <c r="AO25" s="195" t="s">
        <v>5</v>
      </c>
      <c r="AP25" s="288">
        <f>AP23+AP24</f>
        <v>0</v>
      </c>
      <c r="AQ25" s="289">
        <f t="shared" ref="AQ25:BL25" si="20">AQ23+AQ24</f>
        <v>0</v>
      </c>
      <c r="AR25" s="290">
        <f t="shared" si="20"/>
        <v>0</v>
      </c>
      <c r="AS25" s="291">
        <f t="shared" si="20"/>
        <v>0</v>
      </c>
      <c r="AT25" s="288">
        <f t="shared" si="20"/>
        <v>0</v>
      </c>
      <c r="AU25" s="292">
        <f t="shared" si="20"/>
        <v>0</v>
      </c>
      <c r="AV25" s="290">
        <f t="shared" si="20"/>
        <v>0</v>
      </c>
      <c r="AW25" s="291">
        <f t="shared" si="20"/>
        <v>0</v>
      </c>
      <c r="AX25" s="288">
        <f t="shared" si="20"/>
        <v>0</v>
      </c>
      <c r="AY25" s="292">
        <f t="shared" si="20"/>
        <v>0</v>
      </c>
      <c r="AZ25" s="290">
        <f t="shared" si="20"/>
        <v>0</v>
      </c>
      <c r="BA25" s="293">
        <f t="shared" si="20"/>
        <v>0</v>
      </c>
      <c r="BB25" s="290">
        <f t="shared" si="20"/>
        <v>0</v>
      </c>
      <c r="BC25" s="292">
        <f t="shared" si="20"/>
        <v>0</v>
      </c>
      <c r="BD25" s="290">
        <f t="shared" si="20"/>
        <v>0</v>
      </c>
      <c r="BE25" s="291">
        <f t="shared" si="20"/>
        <v>0</v>
      </c>
      <c r="BF25" s="307">
        <f t="shared" si="20"/>
        <v>0</v>
      </c>
      <c r="BG25" s="308">
        <f t="shared" si="20"/>
        <v>0</v>
      </c>
      <c r="BH25" s="308">
        <f t="shared" si="20"/>
        <v>0</v>
      </c>
      <c r="BI25" s="309">
        <f t="shared" si="20"/>
        <v>0</v>
      </c>
      <c r="BJ25" s="307">
        <f t="shared" si="20"/>
        <v>0</v>
      </c>
      <c r="BK25" s="308">
        <f t="shared" si="20"/>
        <v>0</v>
      </c>
      <c r="BL25" s="310">
        <f t="shared" si="20"/>
        <v>0</v>
      </c>
      <c r="BM25" s="294">
        <f t="shared" si="6"/>
        <v>0</v>
      </c>
      <c r="BN25" s="73"/>
      <c r="BO25" s="73"/>
      <c r="BP25" s="90"/>
      <c r="BQ25" s="283" t="s">
        <v>5</v>
      </c>
      <c r="BR25" s="95">
        <f t="shared" ref="BR25:BW25" si="21">SUM(BR23:BR23)</f>
        <v>0</v>
      </c>
      <c r="BS25" s="95">
        <f t="shared" si="21"/>
        <v>0</v>
      </c>
      <c r="BT25" s="95">
        <f t="shared" si="21"/>
        <v>0</v>
      </c>
      <c r="BU25" s="95">
        <f t="shared" si="21"/>
        <v>0</v>
      </c>
      <c r="BV25" s="95">
        <f t="shared" si="21"/>
        <v>0</v>
      </c>
      <c r="BW25" s="95">
        <f t="shared" si="21"/>
        <v>6</v>
      </c>
      <c r="BX25" s="92">
        <f>SUM(BR25:BW25)</f>
        <v>6</v>
      </c>
      <c r="BY25" s="73"/>
      <c r="BZ25" s="247"/>
      <c r="CA25" s="90"/>
      <c r="CB25" s="283" t="s">
        <v>5</v>
      </c>
      <c r="CC25" s="284"/>
      <c r="CD25" s="285"/>
      <c r="CE25" s="284"/>
      <c r="CF25" s="285"/>
      <c r="CG25" s="284"/>
      <c r="CH25" s="286"/>
      <c r="CI25" s="268">
        <f t="shared" si="1"/>
        <v>0</v>
      </c>
      <c r="CJ25" s="73"/>
      <c r="CK25" s="247"/>
    </row>
    <row r="26" spans="2:89" ht="17" thickBot="1" x14ac:dyDescent="0.25">
      <c r="B26" s="194"/>
      <c r="C26" s="195" t="s">
        <v>3</v>
      </c>
      <c r="D26" s="196"/>
      <c r="E26" s="197"/>
      <c r="F26" s="198"/>
      <c r="G26" s="199"/>
      <c r="H26" s="196"/>
      <c r="I26" s="200"/>
      <c r="J26" s="198"/>
      <c r="K26" s="199"/>
      <c r="L26" s="196"/>
      <c r="M26" s="200"/>
      <c r="N26" s="198"/>
      <c r="O26" s="201"/>
      <c r="P26" s="198"/>
      <c r="Q26" s="200"/>
      <c r="R26" s="198"/>
      <c r="S26" s="199"/>
      <c r="T26" s="197"/>
      <c r="U26" s="200"/>
      <c r="V26" s="200"/>
      <c r="W26" s="199"/>
      <c r="X26" s="197"/>
      <c r="Y26" s="200"/>
      <c r="Z26" s="201"/>
      <c r="AA26" s="202">
        <f t="shared" si="5"/>
        <v>0</v>
      </c>
      <c r="AD26" s="248"/>
      <c r="AE26" s="249" t="s">
        <v>3</v>
      </c>
      <c r="AF26" s="250"/>
      <c r="AG26" s="250"/>
      <c r="AH26" s="250"/>
      <c r="AI26" s="250"/>
      <c r="AJ26" s="250"/>
      <c r="AK26" s="251">
        <f t="shared" si="0"/>
        <v>0</v>
      </c>
      <c r="AL26" s="73"/>
      <c r="AM26" s="73"/>
      <c r="AN26" s="194"/>
      <c r="AO26" s="195" t="s">
        <v>3</v>
      </c>
      <c r="AP26" s="260"/>
      <c r="AQ26" s="261"/>
      <c r="AR26" s="262"/>
      <c r="AS26" s="263"/>
      <c r="AT26" s="260"/>
      <c r="AU26" s="264"/>
      <c r="AV26" s="262"/>
      <c r="AW26" s="263"/>
      <c r="AX26" s="260"/>
      <c r="AY26" s="264"/>
      <c r="AZ26" s="262"/>
      <c r="BA26" s="265"/>
      <c r="BB26" s="262"/>
      <c r="BC26" s="264"/>
      <c r="BD26" s="262"/>
      <c r="BE26" s="263"/>
      <c r="BF26" s="261"/>
      <c r="BG26" s="264"/>
      <c r="BH26" s="264"/>
      <c r="BI26" s="263"/>
      <c r="BJ26" s="261"/>
      <c r="BK26" s="264"/>
      <c r="BL26" s="265"/>
      <c r="BM26" s="266">
        <f t="shared" si="6"/>
        <v>0</v>
      </c>
      <c r="BN26" s="73"/>
      <c r="BO26" s="73"/>
      <c r="BP26" s="75" t="s">
        <v>116</v>
      </c>
      <c r="BQ26" s="267" t="s">
        <v>3</v>
      </c>
      <c r="BR26" s="101"/>
      <c r="BS26" s="102"/>
      <c r="BT26" s="101"/>
      <c r="BU26" s="102"/>
      <c r="BV26" s="101">
        <v>1</v>
      </c>
      <c r="BW26" s="103">
        <v>5</v>
      </c>
      <c r="BX26" s="92">
        <f t="shared" si="7"/>
        <v>6</v>
      </c>
      <c r="BY26" s="73"/>
      <c r="BZ26" s="247"/>
      <c r="CA26" s="75"/>
      <c r="CB26" s="267" t="s">
        <v>3</v>
      </c>
      <c r="CC26" s="304"/>
      <c r="CD26" s="305"/>
      <c r="CE26" s="304"/>
      <c r="CF26" s="305"/>
      <c r="CG26" s="304"/>
      <c r="CH26" s="306"/>
      <c r="CI26" s="268">
        <f t="shared" si="1"/>
        <v>0</v>
      </c>
      <c r="CJ26" s="73"/>
      <c r="CK26" s="247"/>
    </row>
    <row r="27" spans="2:89" ht="16" thickBot="1" x14ac:dyDescent="0.25">
      <c r="B27" s="203"/>
      <c r="C27" s="195" t="s">
        <v>4</v>
      </c>
      <c r="D27" s="204"/>
      <c r="E27" s="205"/>
      <c r="F27" s="206"/>
      <c r="G27" s="207"/>
      <c r="H27" s="204"/>
      <c r="I27" s="208"/>
      <c r="J27" s="206"/>
      <c r="K27" s="207"/>
      <c r="L27" s="204"/>
      <c r="M27" s="208"/>
      <c r="N27" s="206"/>
      <c r="O27" s="209"/>
      <c r="P27" s="206"/>
      <c r="Q27" s="208"/>
      <c r="R27" s="206"/>
      <c r="S27" s="207"/>
      <c r="T27" s="205"/>
      <c r="U27" s="208"/>
      <c r="V27" s="208"/>
      <c r="W27" s="207"/>
      <c r="X27" s="205"/>
      <c r="Y27" s="208"/>
      <c r="Z27" s="209"/>
      <c r="AA27" s="210">
        <f t="shared" si="5"/>
        <v>0</v>
      </c>
      <c r="AD27" s="256"/>
      <c r="AE27" s="257" t="s">
        <v>4</v>
      </c>
      <c r="AF27" s="258"/>
      <c r="AG27" s="258"/>
      <c r="AH27" s="258"/>
      <c r="AI27" s="258"/>
      <c r="AJ27" s="258"/>
      <c r="AK27" s="259">
        <f t="shared" si="0"/>
        <v>0</v>
      </c>
      <c r="AL27" s="73"/>
      <c r="AM27" s="73"/>
      <c r="AN27" s="203"/>
      <c r="AO27" s="195" t="s">
        <v>4</v>
      </c>
      <c r="AP27" s="276"/>
      <c r="AQ27" s="277"/>
      <c r="AR27" s="278"/>
      <c r="AS27" s="279"/>
      <c r="AT27" s="276"/>
      <c r="AU27" s="280"/>
      <c r="AV27" s="278"/>
      <c r="AW27" s="279"/>
      <c r="AX27" s="276"/>
      <c r="AY27" s="280"/>
      <c r="AZ27" s="278"/>
      <c r="BA27" s="281"/>
      <c r="BB27" s="278"/>
      <c r="BC27" s="280"/>
      <c r="BD27" s="278"/>
      <c r="BE27" s="279"/>
      <c r="BF27" s="277"/>
      <c r="BG27" s="280"/>
      <c r="BH27" s="280"/>
      <c r="BI27" s="279"/>
      <c r="BJ27" s="277"/>
      <c r="BK27" s="280"/>
      <c r="BL27" s="281"/>
      <c r="BM27" s="282">
        <f t="shared" si="6"/>
        <v>0</v>
      </c>
      <c r="BN27" s="73"/>
      <c r="BO27" s="73"/>
      <c r="BP27" s="76"/>
      <c r="BQ27" s="283" t="s">
        <v>4</v>
      </c>
      <c r="BR27" s="95"/>
      <c r="BS27" s="96"/>
      <c r="BT27" s="95"/>
      <c r="BU27" s="96"/>
      <c r="BV27" s="95"/>
      <c r="BW27" s="97">
        <v>1</v>
      </c>
      <c r="BX27" s="92">
        <f t="shared" si="7"/>
        <v>1</v>
      </c>
      <c r="BY27" s="73"/>
      <c r="BZ27" s="247"/>
      <c r="CA27" s="76"/>
      <c r="CB27" s="283" t="s">
        <v>4</v>
      </c>
      <c r="CC27" s="284"/>
      <c r="CD27" s="285"/>
      <c r="CE27" s="284"/>
      <c r="CF27" s="285"/>
      <c r="CG27" s="284"/>
      <c r="CH27" s="286"/>
      <c r="CI27" s="268">
        <f t="shared" si="1"/>
        <v>0</v>
      </c>
      <c r="CJ27" s="73"/>
      <c r="CK27" s="247"/>
    </row>
    <row r="28" spans="2:89" ht="16" thickBot="1" x14ac:dyDescent="0.25">
      <c r="B28" s="211"/>
      <c r="C28" s="195" t="s">
        <v>5</v>
      </c>
      <c r="D28" s="212">
        <f>D26+D27</f>
        <v>0</v>
      </c>
      <c r="E28" s="213">
        <f t="shared" ref="E28:Z28" si="22">E26+E27</f>
        <v>0</v>
      </c>
      <c r="F28" s="214">
        <f t="shared" si="22"/>
        <v>0</v>
      </c>
      <c r="G28" s="215">
        <f t="shared" si="22"/>
        <v>0</v>
      </c>
      <c r="H28" s="212">
        <f t="shared" si="22"/>
        <v>0</v>
      </c>
      <c r="I28" s="216">
        <f t="shared" si="22"/>
        <v>0</v>
      </c>
      <c r="J28" s="214">
        <f t="shared" si="22"/>
        <v>0</v>
      </c>
      <c r="K28" s="215">
        <f t="shared" si="22"/>
        <v>0</v>
      </c>
      <c r="L28" s="212">
        <f t="shared" si="22"/>
        <v>0</v>
      </c>
      <c r="M28" s="216">
        <f t="shared" si="22"/>
        <v>0</v>
      </c>
      <c r="N28" s="214">
        <f t="shared" si="22"/>
        <v>0</v>
      </c>
      <c r="O28" s="217">
        <f t="shared" si="22"/>
        <v>0</v>
      </c>
      <c r="P28" s="214">
        <f t="shared" si="22"/>
        <v>0</v>
      </c>
      <c r="Q28" s="216">
        <f t="shared" si="22"/>
        <v>0</v>
      </c>
      <c r="R28" s="214">
        <f t="shared" si="22"/>
        <v>0</v>
      </c>
      <c r="S28" s="215">
        <f t="shared" si="22"/>
        <v>0</v>
      </c>
      <c r="T28" s="213">
        <f t="shared" si="22"/>
        <v>0</v>
      </c>
      <c r="U28" s="216">
        <f t="shared" si="22"/>
        <v>0</v>
      </c>
      <c r="V28" s="216">
        <f t="shared" si="22"/>
        <v>0</v>
      </c>
      <c r="W28" s="215">
        <f t="shared" si="22"/>
        <v>0</v>
      </c>
      <c r="X28" s="213">
        <f t="shared" si="22"/>
        <v>0</v>
      </c>
      <c r="Y28" s="216">
        <f t="shared" si="22"/>
        <v>0</v>
      </c>
      <c r="Z28" s="217">
        <f t="shared" si="22"/>
        <v>0</v>
      </c>
      <c r="AA28" s="218">
        <f t="shared" si="5"/>
        <v>0</v>
      </c>
      <c r="AD28" s="272"/>
      <c r="AE28" s="273" t="s">
        <v>5</v>
      </c>
      <c r="AF28" s="274">
        <f>SUM(AF26:AF27)</f>
        <v>0</v>
      </c>
      <c r="AG28" s="274">
        <f>SUM(AG26:AG27)</f>
        <v>0</v>
      </c>
      <c r="AH28" s="274">
        <f>SUM(AH26:AH27)</f>
        <v>0</v>
      </c>
      <c r="AI28" s="274">
        <f>SUM(AI26:AI27)</f>
        <v>0</v>
      </c>
      <c r="AJ28" s="274">
        <f>SUM(AJ26:AJ27)</f>
        <v>0</v>
      </c>
      <c r="AK28" s="275">
        <f t="shared" si="0"/>
        <v>0</v>
      </c>
      <c r="AL28" s="73"/>
      <c r="AM28" s="73"/>
      <c r="AN28" s="211"/>
      <c r="AO28" s="195" t="s">
        <v>5</v>
      </c>
      <c r="AP28" s="288">
        <f>AP26+AP27</f>
        <v>0</v>
      </c>
      <c r="AQ28" s="289">
        <f t="shared" ref="AQ28:BL28" si="23">AQ26+AQ27</f>
        <v>0</v>
      </c>
      <c r="AR28" s="290">
        <f t="shared" si="23"/>
        <v>0</v>
      </c>
      <c r="AS28" s="291">
        <f t="shared" si="23"/>
        <v>0</v>
      </c>
      <c r="AT28" s="288">
        <f t="shared" si="23"/>
        <v>0</v>
      </c>
      <c r="AU28" s="292">
        <f t="shared" si="23"/>
        <v>0</v>
      </c>
      <c r="AV28" s="290">
        <f t="shared" si="23"/>
        <v>0</v>
      </c>
      <c r="AW28" s="291">
        <f t="shared" si="23"/>
        <v>0</v>
      </c>
      <c r="AX28" s="288">
        <f t="shared" si="23"/>
        <v>0</v>
      </c>
      <c r="AY28" s="292">
        <f t="shared" si="23"/>
        <v>0</v>
      </c>
      <c r="AZ28" s="290">
        <f t="shared" si="23"/>
        <v>0</v>
      </c>
      <c r="BA28" s="293">
        <f t="shared" si="23"/>
        <v>0</v>
      </c>
      <c r="BB28" s="290">
        <f t="shared" si="23"/>
        <v>0</v>
      </c>
      <c r="BC28" s="292">
        <f t="shared" si="23"/>
        <v>0</v>
      </c>
      <c r="BD28" s="290">
        <f t="shared" si="23"/>
        <v>0</v>
      </c>
      <c r="BE28" s="291">
        <f t="shared" si="23"/>
        <v>0</v>
      </c>
      <c r="BF28" s="289">
        <f t="shared" si="23"/>
        <v>0</v>
      </c>
      <c r="BG28" s="292">
        <f t="shared" si="23"/>
        <v>0</v>
      </c>
      <c r="BH28" s="292">
        <f t="shared" si="23"/>
        <v>0</v>
      </c>
      <c r="BI28" s="291">
        <f t="shared" si="23"/>
        <v>0</v>
      </c>
      <c r="BJ28" s="289">
        <f t="shared" si="23"/>
        <v>0</v>
      </c>
      <c r="BK28" s="292">
        <f t="shared" si="23"/>
        <v>0</v>
      </c>
      <c r="BL28" s="293">
        <f t="shared" si="23"/>
        <v>0</v>
      </c>
      <c r="BM28" s="294">
        <f t="shared" si="6"/>
        <v>0</v>
      </c>
      <c r="BN28" s="73"/>
      <c r="BO28" s="73"/>
      <c r="BP28" s="78"/>
      <c r="BQ28" s="283" t="s">
        <v>5</v>
      </c>
      <c r="BR28" s="95">
        <f>SUM(BR26:BR26)</f>
        <v>0</v>
      </c>
      <c r="BS28" s="95">
        <f>SUM(BS26:BS26)</f>
        <v>0</v>
      </c>
      <c r="BT28" s="95">
        <f>SUM(BT26:BT26)</f>
        <v>0</v>
      </c>
      <c r="BU28" s="95">
        <f>SUM(BU26:BU26)</f>
        <v>0</v>
      </c>
      <c r="BV28" s="95">
        <f>SUM(BV26:BV26)</f>
        <v>1</v>
      </c>
      <c r="BW28" s="95">
        <f>SUM(BW26:BW27)</f>
        <v>6</v>
      </c>
      <c r="BX28" s="92">
        <f>SUM(BR28:BW28)</f>
        <v>7</v>
      </c>
      <c r="BY28" s="73"/>
      <c r="BZ28" s="247"/>
      <c r="CA28" s="78"/>
      <c r="CB28" s="283" t="s">
        <v>5</v>
      </c>
      <c r="CC28" s="284"/>
      <c r="CD28" s="285"/>
      <c r="CE28" s="284"/>
      <c r="CF28" s="285"/>
      <c r="CG28" s="284"/>
      <c r="CH28" s="286"/>
      <c r="CI28" s="268">
        <f t="shared" si="1"/>
        <v>0</v>
      </c>
      <c r="CJ28" s="73"/>
      <c r="CK28" s="247"/>
    </row>
    <row r="29" spans="2:89" ht="17" thickBot="1" x14ac:dyDescent="0.25">
      <c r="B29" s="194"/>
      <c r="C29" s="195" t="s">
        <v>3</v>
      </c>
      <c r="D29" s="196"/>
      <c r="E29" s="197"/>
      <c r="F29" s="198"/>
      <c r="G29" s="199"/>
      <c r="H29" s="196"/>
      <c r="I29" s="200"/>
      <c r="J29" s="198"/>
      <c r="K29" s="199"/>
      <c r="L29" s="196"/>
      <c r="M29" s="200"/>
      <c r="N29" s="198"/>
      <c r="O29" s="201"/>
      <c r="P29" s="198"/>
      <c r="Q29" s="200"/>
      <c r="R29" s="198"/>
      <c r="S29" s="199"/>
      <c r="T29" s="219"/>
      <c r="U29" s="220"/>
      <c r="V29" s="220"/>
      <c r="W29" s="221"/>
      <c r="X29" s="219"/>
      <c r="Y29" s="220"/>
      <c r="Z29" s="222"/>
      <c r="AA29" s="202">
        <f t="shared" si="5"/>
        <v>0</v>
      </c>
      <c r="AD29" s="248"/>
      <c r="AE29" s="249" t="s">
        <v>3</v>
      </c>
      <c r="AF29" s="250"/>
      <c r="AG29" s="250"/>
      <c r="AH29" s="250"/>
      <c r="AI29" s="250"/>
      <c r="AJ29" s="250"/>
      <c r="AK29" s="251">
        <f t="shared" si="0"/>
        <v>0</v>
      </c>
      <c r="AL29" s="73"/>
      <c r="AM29" s="73"/>
      <c r="AN29" s="194"/>
      <c r="AO29" s="195" t="s">
        <v>3</v>
      </c>
      <c r="AP29" s="260"/>
      <c r="AQ29" s="261"/>
      <c r="AR29" s="262"/>
      <c r="AS29" s="263"/>
      <c r="AT29" s="260"/>
      <c r="AU29" s="264"/>
      <c r="AV29" s="262"/>
      <c r="AW29" s="263"/>
      <c r="AX29" s="260"/>
      <c r="AY29" s="264"/>
      <c r="AZ29" s="262"/>
      <c r="BA29" s="265"/>
      <c r="BB29" s="262"/>
      <c r="BC29" s="264"/>
      <c r="BD29" s="262"/>
      <c r="BE29" s="263"/>
      <c r="BF29" s="299"/>
      <c r="BG29" s="300"/>
      <c r="BH29" s="300"/>
      <c r="BI29" s="301"/>
      <c r="BJ29" s="299"/>
      <c r="BK29" s="300"/>
      <c r="BL29" s="302"/>
      <c r="BM29" s="266">
        <f t="shared" si="6"/>
        <v>0</v>
      </c>
      <c r="BN29" s="73"/>
      <c r="BO29" s="73"/>
      <c r="BP29" s="89" t="s">
        <v>117</v>
      </c>
      <c r="BQ29" s="267" t="s">
        <v>3</v>
      </c>
      <c r="BR29" s="95"/>
      <c r="BS29" s="96"/>
      <c r="BT29" s="95">
        <v>1</v>
      </c>
      <c r="BU29" s="96"/>
      <c r="BV29" s="95"/>
      <c r="BW29" s="97">
        <v>4</v>
      </c>
      <c r="BX29" s="92">
        <f t="shared" si="7"/>
        <v>5</v>
      </c>
      <c r="BY29" s="73"/>
      <c r="BZ29" s="247"/>
      <c r="CA29" s="89"/>
      <c r="CB29" s="267" t="s">
        <v>3</v>
      </c>
      <c r="CC29" s="284"/>
      <c r="CD29" s="285"/>
      <c r="CE29" s="284"/>
      <c r="CF29" s="285"/>
      <c r="CG29" s="284"/>
      <c r="CH29" s="286"/>
      <c r="CI29" s="268">
        <f t="shared" si="1"/>
        <v>0</v>
      </c>
      <c r="CJ29" s="73"/>
      <c r="CK29" s="247"/>
    </row>
    <row r="30" spans="2:89" ht="16" thickBot="1" x14ac:dyDescent="0.25">
      <c r="B30" s="203"/>
      <c r="C30" s="195" t="s">
        <v>4</v>
      </c>
      <c r="D30" s="204"/>
      <c r="E30" s="205"/>
      <c r="F30" s="206"/>
      <c r="G30" s="207"/>
      <c r="H30" s="204"/>
      <c r="I30" s="208"/>
      <c r="J30" s="206"/>
      <c r="K30" s="207"/>
      <c r="L30" s="204"/>
      <c r="M30" s="208"/>
      <c r="N30" s="206"/>
      <c r="O30" s="209"/>
      <c r="P30" s="206"/>
      <c r="Q30" s="208"/>
      <c r="R30" s="206"/>
      <c r="S30" s="207"/>
      <c r="T30" s="205"/>
      <c r="U30" s="208"/>
      <c r="V30" s="208"/>
      <c r="W30" s="207"/>
      <c r="X30" s="205"/>
      <c r="Y30" s="208"/>
      <c r="Z30" s="209"/>
      <c r="AA30" s="210">
        <f t="shared" si="5"/>
        <v>0</v>
      </c>
      <c r="AD30" s="256"/>
      <c r="AE30" s="257" t="s">
        <v>4</v>
      </c>
      <c r="AF30" s="258"/>
      <c r="AG30" s="258"/>
      <c r="AH30" s="258"/>
      <c r="AI30" s="258"/>
      <c r="AJ30" s="258"/>
      <c r="AK30" s="259">
        <f t="shared" si="0"/>
        <v>0</v>
      </c>
      <c r="AL30" s="73"/>
      <c r="AM30" s="73"/>
      <c r="AN30" s="203"/>
      <c r="AO30" s="195" t="s">
        <v>4</v>
      </c>
      <c r="AP30" s="276"/>
      <c r="AQ30" s="277"/>
      <c r="AR30" s="278"/>
      <c r="AS30" s="279"/>
      <c r="AT30" s="276"/>
      <c r="AU30" s="280"/>
      <c r="AV30" s="278"/>
      <c r="AW30" s="279"/>
      <c r="AX30" s="276"/>
      <c r="AY30" s="280"/>
      <c r="AZ30" s="278"/>
      <c r="BA30" s="281"/>
      <c r="BB30" s="278"/>
      <c r="BC30" s="280"/>
      <c r="BD30" s="278"/>
      <c r="BE30" s="279"/>
      <c r="BF30" s="277"/>
      <c r="BG30" s="280"/>
      <c r="BH30" s="280"/>
      <c r="BI30" s="279"/>
      <c r="BJ30" s="277"/>
      <c r="BK30" s="280"/>
      <c r="BL30" s="281"/>
      <c r="BM30" s="282">
        <f t="shared" si="6"/>
        <v>0</v>
      </c>
      <c r="BN30" s="73"/>
      <c r="BO30" s="73"/>
      <c r="BP30" s="90"/>
      <c r="BQ30" s="283" t="s">
        <v>4</v>
      </c>
      <c r="BR30" s="104"/>
      <c r="BS30" s="105"/>
      <c r="BT30" s="104"/>
      <c r="BU30" s="105"/>
      <c r="BV30" s="104"/>
      <c r="BW30" s="106"/>
      <c r="BX30" s="92">
        <f t="shared" si="7"/>
        <v>0</v>
      </c>
      <c r="BY30" s="73"/>
      <c r="BZ30" s="247"/>
      <c r="CA30" s="90"/>
      <c r="CB30" s="283" t="s">
        <v>4</v>
      </c>
      <c r="CC30" s="312"/>
      <c r="CD30" s="313"/>
      <c r="CE30" s="312"/>
      <c r="CF30" s="313"/>
      <c r="CG30" s="312"/>
      <c r="CH30" s="314"/>
      <c r="CI30" s="268">
        <f t="shared" si="1"/>
        <v>0</v>
      </c>
      <c r="CJ30" s="73"/>
      <c r="CK30" s="247"/>
    </row>
    <row r="31" spans="2:89" ht="16" thickBot="1" x14ac:dyDescent="0.25">
      <c r="B31" s="211"/>
      <c r="C31" s="195" t="s">
        <v>5</v>
      </c>
      <c r="D31" s="212">
        <f>D29+D30</f>
        <v>0</v>
      </c>
      <c r="E31" s="213">
        <f t="shared" ref="E31:Z31" si="24">E29+E30</f>
        <v>0</v>
      </c>
      <c r="F31" s="214">
        <f t="shared" si="24"/>
        <v>0</v>
      </c>
      <c r="G31" s="215">
        <f t="shared" si="24"/>
        <v>0</v>
      </c>
      <c r="H31" s="212">
        <f t="shared" si="24"/>
        <v>0</v>
      </c>
      <c r="I31" s="216">
        <f t="shared" si="24"/>
        <v>0</v>
      </c>
      <c r="J31" s="214">
        <f t="shared" si="24"/>
        <v>0</v>
      </c>
      <c r="K31" s="215">
        <f t="shared" si="24"/>
        <v>0</v>
      </c>
      <c r="L31" s="212">
        <f t="shared" si="24"/>
        <v>0</v>
      </c>
      <c r="M31" s="216">
        <f t="shared" si="24"/>
        <v>0</v>
      </c>
      <c r="N31" s="214">
        <f t="shared" si="24"/>
        <v>0</v>
      </c>
      <c r="O31" s="217">
        <f t="shared" si="24"/>
        <v>0</v>
      </c>
      <c r="P31" s="214">
        <f t="shared" si="24"/>
        <v>0</v>
      </c>
      <c r="Q31" s="216">
        <f t="shared" si="24"/>
        <v>0</v>
      </c>
      <c r="R31" s="214">
        <f t="shared" si="24"/>
        <v>0</v>
      </c>
      <c r="S31" s="215">
        <f t="shared" si="24"/>
        <v>0</v>
      </c>
      <c r="T31" s="223">
        <f t="shared" si="24"/>
        <v>0</v>
      </c>
      <c r="U31" s="224">
        <f t="shared" si="24"/>
        <v>0</v>
      </c>
      <c r="V31" s="224">
        <f t="shared" si="24"/>
        <v>0</v>
      </c>
      <c r="W31" s="225">
        <f t="shared" si="24"/>
        <v>0</v>
      </c>
      <c r="X31" s="223">
        <f t="shared" si="24"/>
        <v>0</v>
      </c>
      <c r="Y31" s="224">
        <f t="shared" si="24"/>
        <v>0</v>
      </c>
      <c r="Z31" s="226">
        <f t="shared" si="24"/>
        <v>0</v>
      </c>
      <c r="AA31" s="218">
        <f t="shared" si="5"/>
        <v>0</v>
      </c>
      <c r="AD31" s="272"/>
      <c r="AE31" s="326" t="s">
        <v>5</v>
      </c>
      <c r="AF31" s="274">
        <f>SUM(AF29:AF30)</f>
        <v>0</v>
      </c>
      <c r="AG31" s="274">
        <f>SUM(AG29:AG30)</f>
        <v>0</v>
      </c>
      <c r="AH31" s="274">
        <f>SUM(AH29:AH30)</f>
        <v>0</v>
      </c>
      <c r="AI31" s="274">
        <f>SUM(AI29:AI30)</f>
        <v>0</v>
      </c>
      <c r="AJ31" s="274">
        <f>SUM(AJ29:AJ30)</f>
        <v>0</v>
      </c>
      <c r="AK31" s="275">
        <f t="shared" si="0"/>
        <v>0</v>
      </c>
      <c r="AL31" s="73"/>
      <c r="AM31" s="73"/>
      <c r="AN31" s="211"/>
      <c r="AO31" s="195" t="s">
        <v>5</v>
      </c>
      <c r="AP31" s="288">
        <f>AP29+AP30</f>
        <v>0</v>
      </c>
      <c r="AQ31" s="289">
        <f t="shared" ref="AQ31:BL31" si="25">AQ29+AQ30</f>
        <v>0</v>
      </c>
      <c r="AR31" s="290">
        <f t="shared" si="25"/>
        <v>0</v>
      </c>
      <c r="AS31" s="291">
        <f t="shared" si="25"/>
        <v>0</v>
      </c>
      <c r="AT31" s="288">
        <f t="shared" si="25"/>
        <v>0</v>
      </c>
      <c r="AU31" s="292">
        <f t="shared" si="25"/>
        <v>0</v>
      </c>
      <c r="AV31" s="290">
        <f t="shared" si="25"/>
        <v>0</v>
      </c>
      <c r="AW31" s="291">
        <f t="shared" si="25"/>
        <v>0</v>
      </c>
      <c r="AX31" s="288">
        <f t="shared" si="25"/>
        <v>0</v>
      </c>
      <c r="AY31" s="292">
        <f t="shared" si="25"/>
        <v>0</v>
      </c>
      <c r="AZ31" s="290">
        <f t="shared" si="25"/>
        <v>0</v>
      </c>
      <c r="BA31" s="293">
        <f t="shared" si="25"/>
        <v>0</v>
      </c>
      <c r="BB31" s="290">
        <f t="shared" si="25"/>
        <v>0</v>
      </c>
      <c r="BC31" s="292">
        <f t="shared" si="25"/>
        <v>0</v>
      </c>
      <c r="BD31" s="290">
        <f t="shared" si="25"/>
        <v>0</v>
      </c>
      <c r="BE31" s="291">
        <f t="shared" si="25"/>
        <v>0</v>
      </c>
      <c r="BF31" s="307">
        <f t="shared" si="25"/>
        <v>0</v>
      </c>
      <c r="BG31" s="308">
        <f t="shared" si="25"/>
        <v>0</v>
      </c>
      <c r="BH31" s="308">
        <f t="shared" si="25"/>
        <v>0</v>
      </c>
      <c r="BI31" s="309">
        <f t="shared" si="25"/>
        <v>0</v>
      </c>
      <c r="BJ31" s="307">
        <f t="shared" si="25"/>
        <v>0</v>
      </c>
      <c r="BK31" s="308">
        <f t="shared" si="25"/>
        <v>0</v>
      </c>
      <c r="BL31" s="310">
        <f t="shared" si="25"/>
        <v>0</v>
      </c>
      <c r="BM31" s="294">
        <f t="shared" si="6"/>
        <v>0</v>
      </c>
      <c r="BN31" s="73"/>
      <c r="BO31" s="73"/>
      <c r="BP31" s="90"/>
      <c r="BQ31" s="283" t="s">
        <v>5</v>
      </c>
      <c r="BR31" s="104">
        <f t="shared" ref="BR31:BW31" si="26">SUM(BR29:BR29)</f>
        <v>0</v>
      </c>
      <c r="BS31" s="104">
        <f t="shared" si="26"/>
        <v>0</v>
      </c>
      <c r="BT31" s="104">
        <f t="shared" si="26"/>
        <v>1</v>
      </c>
      <c r="BU31" s="104">
        <f t="shared" si="26"/>
        <v>0</v>
      </c>
      <c r="BV31" s="104">
        <f t="shared" si="26"/>
        <v>0</v>
      </c>
      <c r="BW31" s="104">
        <f t="shared" si="26"/>
        <v>4</v>
      </c>
      <c r="BX31" s="92">
        <f t="shared" si="7"/>
        <v>5</v>
      </c>
      <c r="BY31" s="73"/>
      <c r="BZ31" s="247"/>
      <c r="CA31" s="90"/>
      <c r="CB31" s="283" t="s">
        <v>5</v>
      </c>
      <c r="CC31" s="312"/>
      <c r="CD31" s="313"/>
      <c r="CE31" s="312"/>
      <c r="CF31" s="313"/>
      <c r="CG31" s="312"/>
      <c r="CH31" s="314"/>
      <c r="CI31" s="268">
        <f t="shared" si="1"/>
        <v>0</v>
      </c>
      <c r="CJ31" s="73"/>
      <c r="CK31" s="247"/>
    </row>
    <row r="32" spans="2:89" ht="17" thickBot="1" x14ac:dyDescent="0.25">
      <c r="B32" s="194"/>
      <c r="C32" s="195" t="s">
        <v>3</v>
      </c>
      <c r="D32" s="196"/>
      <c r="E32" s="197"/>
      <c r="F32" s="198"/>
      <c r="G32" s="199"/>
      <c r="H32" s="196"/>
      <c r="I32" s="200"/>
      <c r="J32" s="198"/>
      <c r="K32" s="199"/>
      <c r="L32" s="196"/>
      <c r="M32" s="200"/>
      <c r="N32" s="198"/>
      <c r="O32" s="201"/>
      <c r="P32" s="198"/>
      <c r="Q32" s="200"/>
      <c r="R32" s="198"/>
      <c r="S32" s="199"/>
      <c r="T32" s="197"/>
      <c r="U32" s="200"/>
      <c r="V32" s="200"/>
      <c r="W32" s="199"/>
      <c r="X32" s="197"/>
      <c r="Y32" s="200"/>
      <c r="Z32" s="201"/>
      <c r="AA32" s="202">
        <f t="shared" si="5"/>
        <v>0</v>
      </c>
      <c r="AD32" s="248"/>
      <c r="AE32" s="249" t="s">
        <v>3</v>
      </c>
      <c r="AF32" s="250"/>
      <c r="AG32" s="250"/>
      <c r="AH32" s="250"/>
      <c r="AI32" s="250"/>
      <c r="AJ32" s="250"/>
      <c r="AK32" s="251">
        <f t="shared" si="0"/>
        <v>0</v>
      </c>
      <c r="AL32" s="73"/>
      <c r="AM32" s="73"/>
      <c r="AN32" s="194"/>
      <c r="AO32" s="195" t="s">
        <v>3</v>
      </c>
      <c r="AP32" s="260"/>
      <c r="AQ32" s="261"/>
      <c r="AR32" s="262"/>
      <c r="AS32" s="263"/>
      <c r="AT32" s="260"/>
      <c r="AU32" s="264"/>
      <c r="AV32" s="262"/>
      <c r="AW32" s="263"/>
      <c r="AX32" s="260"/>
      <c r="AY32" s="264"/>
      <c r="AZ32" s="262"/>
      <c r="BA32" s="265"/>
      <c r="BB32" s="262"/>
      <c r="BC32" s="264"/>
      <c r="BD32" s="262"/>
      <c r="BE32" s="263"/>
      <c r="BF32" s="261"/>
      <c r="BG32" s="264"/>
      <c r="BH32" s="264"/>
      <c r="BI32" s="263"/>
      <c r="BJ32" s="261"/>
      <c r="BK32" s="264"/>
      <c r="BL32" s="265"/>
      <c r="BM32" s="266">
        <f t="shared" si="6"/>
        <v>0</v>
      </c>
      <c r="BN32" s="73"/>
      <c r="BO32" s="73"/>
      <c r="BP32" s="75" t="s">
        <v>118</v>
      </c>
      <c r="BQ32" s="267" t="s">
        <v>3</v>
      </c>
      <c r="BR32" s="95"/>
      <c r="BS32" s="96"/>
      <c r="BT32" s="95">
        <v>1</v>
      </c>
      <c r="BU32" s="96"/>
      <c r="BV32" s="95"/>
      <c r="BW32" s="97"/>
      <c r="BX32" s="92">
        <f t="shared" si="7"/>
        <v>1</v>
      </c>
      <c r="BY32" s="73"/>
      <c r="BZ32" s="247"/>
      <c r="CA32" s="75"/>
      <c r="CB32" s="267" t="s">
        <v>3</v>
      </c>
      <c r="CC32" s="284"/>
      <c r="CD32" s="285"/>
      <c r="CE32" s="284"/>
      <c r="CF32" s="285"/>
      <c r="CG32" s="284"/>
      <c r="CH32" s="286"/>
      <c r="CI32" s="268">
        <f t="shared" si="1"/>
        <v>0</v>
      </c>
      <c r="CJ32" s="73"/>
      <c r="CK32" s="247"/>
    </row>
    <row r="33" spans="2:89" ht="16" thickBot="1" x14ac:dyDescent="0.25">
      <c r="B33" s="203"/>
      <c r="C33" s="195" t="s">
        <v>4</v>
      </c>
      <c r="D33" s="204"/>
      <c r="E33" s="205"/>
      <c r="F33" s="206"/>
      <c r="G33" s="207"/>
      <c r="H33" s="204"/>
      <c r="I33" s="208"/>
      <c r="J33" s="206"/>
      <c r="K33" s="207"/>
      <c r="L33" s="204"/>
      <c r="M33" s="208"/>
      <c r="N33" s="206"/>
      <c r="O33" s="209"/>
      <c r="P33" s="206"/>
      <c r="Q33" s="208"/>
      <c r="R33" s="206"/>
      <c r="S33" s="207"/>
      <c r="T33" s="205"/>
      <c r="U33" s="208"/>
      <c r="V33" s="208"/>
      <c r="W33" s="207"/>
      <c r="X33" s="205"/>
      <c r="Y33" s="208"/>
      <c r="Z33" s="209"/>
      <c r="AA33" s="210">
        <f t="shared" si="5"/>
        <v>0</v>
      </c>
      <c r="AD33" s="256"/>
      <c r="AE33" s="257" t="s">
        <v>4</v>
      </c>
      <c r="AF33" s="258"/>
      <c r="AG33" s="258"/>
      <c r="AH33" s="258"/>
      <c r="AI33" s="258"/>
      <c r="AJ33" s="258"/>
      <c r="AK33" s="259">
        <f t="shared" si="0"/>
        <v>0</v>
      </c>
      <c r="AL33" s="73"/>
      <c r="AM33" s="73"/>
      <c r="AN33" s="203"/>
      <c r="AO33" s="195" t="s">
        <v>4</v>
      </c>
      <c r="AP33" s="276"/>
      <c r="AQ33" s="277"/>
      <c r="AR33" s="278"/>
      <c r="AS33" s="279"/>
      <c r="AT33" s="276"/>
      <c r="AU33" s="280"/>
      <c r="AV33" s="278"/>
      <c r="AW33" s="279"/>
      <c r="AX33" s="276"/>
      <c r="AY33" s="280"/>
      <c r="AZ33" s="278"/>
      <c r="BA33" s="281"/>
      <c r="BB33" s="278"/>
      <c r="BC33" s="280"/>
      <c r="BD33" s="278"/>
      <c r="BE33" s="279"/>
      <c r="BF33" s="277"/>
      <c r="BG33" s="280"/>
      <c r="BH33" s="280"/>
      <c r="BI33" s="279"/>
      <c r="BJ33" s="277"/>
      <c r="BK33" s="280"/>
      <c r="BL33" s="281"/>
      <c r="BM33" s="282">
        <f t="shared" si="6"/>
        <v>0</v>
      </c>
      <c r="BN33" s="73"/>
      <c r="BO33" s="73"/>
      <c r="BP33" s="76"/>
      <c r="BQ33" s="283" t="s">
        <v>4</v>
      </c>
      <c r="BR33" s="95"/>
      <c r="BS33" s="96"/>
      <c r="BT33" s="95"/>
      <c r="BU33" s="96"/>
      <c r="BV33" s="95"/>
      <c r="BW33" s="97"/>
      <c r="BX33" s="92">
        <f t="shared" si="7"/>
        <v>0</v>
      </c>
      <c r="BY33" s="73"/>
      <c r="BZ33" s="247"/>
      <c r="CA33" s="76"/>
      <c r="CB33" s="283" t="s">
        <v>4</v>
      </c>
      <c r="CC33" s="284"/>
      <c r="CD33" s="285"/>
      <c r="CE33" s="284"/>
      <c r="CF33" s="285"/>
      <c r="CG33" s="284"/>
      <c r="CH33" s="286"/>
      <c r="CI33" s="268">
        <f t="shared" si="1"/>
        <v>0</v>
      </c>
      <c r="CJ33" s="73"/>
      <c r="CK33" s="247"/>
    </row>
    <row r="34" spans="2:89" ht="16" thickBot="1" x14ac:dyDescent="0.25">
      <c r="B34" s="211"/>
      <c r="C34" s="195" t="s">
        <v>5</v>
      </c>
      <c r="D34" s="212">
        <f>D32+D33</f>
        <v>0</v>
      </c>
      <c r="E34" s="213">
        <f t="shared" ref="E34:Z34" si="27">E32+E33</f>
        <v>0</v>
      </c>
      <c r="F34" s="214">
        <f t="shared" si="27"/>
        <v>0</v>
      </c>
      <c r="G34" s="215">
        <f t="shared" si="27"/>
        <v>0</v>
      </c>
      <c r="H34" s="212">
        <f t="shared" si="27"/>
        <v>0</v>
      </c>
      <c r="I34" s="216">
        <f t="shared" si="27"/>
        <v>0</v>
      </c>
      <c r="J34" s="214">
        <f t="shared" si="27"/>
        <v>0</v>
      </c>
      <c r="K34" s="215">
        <f t="shared" si="27"/>
        <v>0</v>
      </c>
      <c r="L34" s="212">
        <f t="shared" si="27"/>
        <v>0</v>
      </c>
      <c r="M34" s="216">
        <f t="shared" si="27"/>
        <v>0</v>
      </c>
      <c r="N34" s="214">
        <f t="shared" si="27"/>
        <v>0</v>
      </c>
      <c r="O34" s="217">
        <f t="shared" si="27"/>
        <v>0</v>
      </c>
      <c r="P34" s="214">
        <f t="shared" si="27"/>
        <v>0</v>
      </c>
      <c r="Q34" s="216">
        <f t="shared" si="27"/>
        <v>0</v>
      </c>
      <c r="R34" s="214">
        <f t="shared" si="27"/>
        <v>0</v>
      </c>
      <c r="S34" s="215">
        <f t="shared" si="27"/>
        <v>0</v>
      </c>
      <c r="T34" s="213">
        <f t="shared" si="27"/>
        <v>0</v>
      </c>
      <c r="U34" s="216">
        <f t="shared" si="27"/>
        <v>0</v>
      </c>
      <c r="V34" s="216">
        <f t="shared" si="27"/>
        <v>0</v>
      </c>
      <c r="W34" s="215">
        <f t="shared" si="27"/>
        <v>0</v>
      </c>
      <c r="X34" s="213">
        <f t="shared" si="27"/>
        <v>0</v>
      </c>
      <c r="Y34" s="216">
        <f t="shared" si="27"/>
        <v>0</v>
      </c>
      <c r="Z34" s="217">
        <f t="shared" si="27"/>
        <v>0</v>
      </c>
      <c r="AA34" s="218">
        <f t="shared" si="5"/>
        <v>0</v>
      </c>
      <c r="AD34" s="272"/>
      <c r="AE34" s="273" t="s">
        <v>5</v>
      </c>
      <c r="AF34" s="274">
        <f>SUM(AF32:AF33)</f>
        <v>0</v>
      </c>
      <c r="AG34" s="274">
        <f>SUM(AG32:AG33)</f>
        <v>0</v>
      </c>
      <c r="AH34" s="274">
        <f>SUM(AH32:AH33)</f>
        <v>0</v>
      </c>
      <c r="AI34" s="274">
        <f>SUM(AI32:AI33)</f>
        <v>0</v>
      </c>
      <c r="AJ34" s="274">
        <f>SUM(AJ32:AJ33)</f>
        <v>0</v>
      </c>
      <c r="AK34" s="275">
        <f t="shared" si="0"/>
        <v>0</v>
      </c>
      <c r="AL34" s="73"/>
      <c r="AM34" s="73"/>
      <c r="AN34" s="211"/>
      <c r="AO34" s="195" t="s">
        <v>5</v>
      </c>
      <c r="AP34" s="288">
        <f>AP32+AP33</f>
        <v>0</v>
      </c>
      <c r="AQ34" s="289">
        <f t="shared" ref="AQ34:BL34" si="28">AQ32+AQ33</f>
        <v>0</v>
      </c>
      <c r="AR34" s="290">
        <f t="shared" si="28"/>
        <v>0</v>
      </c>
      <c r="AS34" s="291">
        <f t="shared" si="28"/>
        <v>0</v>
      </c>
      <c r="AT34" s="288">
        <f t="shared" si="28"/>
        <v>0</v>
      </c>
      <c r="AU34" s="292">
        <f t="shared" si="28"/>
        <v>0</v>
      </c>
      <c r="AV34" s="290">
        <f t="shared" si="28"/>
        <v>0</v>
      </c>
      <c r="AW34" s="291">
        <f t="shared" si="28"/>
        <v>0</v>
      </c>
      <c r="AX34" s="288">
        <f t="shared" si="28"/>
        <v>0</v>
      </c>
      <c r="AY34" s="292">
        <f t="shared" si="28"/>
        <v>0</v>
      </c>
      <c r="AZ34" s="290">
        <f t="shared" si="28"/>
        <v>0</v>
      </c>
      <c r="BA34" s="293">
        <f t="shared" si="28"/>
        <v>0</v>
      </c>
      <c r="BB34" s="290">
        <f t="shared" si="28"/>
        <v>0</v>
      </c>
      <c r="BC34" s="292">
        <f t="shared" si="28"/>
        <v>0</v>
      </c>
      <c r="BD34" s="290">
        <f t="shared" si="28"/>
        <v>0</v>
      </c>
      <c r="BE34" s="291">
        <f t="shared" si="28"/>
        <v>0</v>
      </c>
      <c r="BF34" s="289">
        <f t="shared" si="28"/>
        <v>0</v>
      </c>
      <c r="BG34" s="292">
        <f t="shared" si="28"/>
        <v>0</v>
      </c>
      <c r="BH34" s="292">
        <f t="shared" si="28"/>
        <v>0</v>
      </c>
      <c r="BI34" s="291">
        <f t="shared" si="28"/>
        <v>0</v>
      </c>
      <c r="BJ34" s="289">
        <f t="shared" si="28"/>
        <v>0</v>
      </c>
      <c r="BK34" s="292">
        <f t="shared" si="28"/>
        <v>0</v>
      </c>
      <c r="BL34" s="293">
        <f t="shared" si="28"/>
        <v>0</v>
      </c>
      <c r="BM34" s="294">
        <f t="shared" si="6"/>
        <v>0</v>
      </c>
      <c r="BN34" s="73"/>
      <c r="BO34" s="73"/>
      <c r="BP34" s="78"/>
      <c r="BQ34" s="283" t="s">
        <v>5</v>
      </c>
      <c r="BR34" s="95">
        <f t="shared" ref="BR34:BW34" si="29">SUM(BR32)</f>
        <v>0</v>
      </c>
      <c r="BS34" s="95">
        <f t="shared" si="29"/>
        <v>0</v>
      </c>
      <c r="BT34" s="95">
        <f t="shared" si="29"/>
        <v>1</v>
      </c>
      <c r="BU34" s="95">
        <f t="shared" si="29"/>
        <v>0</v>
      </c>
      <c r="BV34" s="95">
        <f t="shared" si="29"/>
        <v>0</v>
      </c>
      <c r="BW34" s="95">
        <f t="shared" si="29"/>
        <v>0</v>
      </c>
      <c r="BX34" s="92">
        <f t="shared" si="7"/>
        <v>1</v>
      </c>
      <c r="BY34" s="73"/>
      <c r="BZ34" s="247"/>
      <c r="CA34" s="78"/>
      <c r="CB34" s="283" t="s">
        <v>5</v>
      </c>
      <c r="CC34" s="284"/>
      <c r="CD34" s="285"/>
      <c r="CE34" s="284"/>
      <c r="CF34" s="285"/>
      <c r="CG34" s="284"/>
      <c r="CH34" s="286"/>
      <c r="CI34" s="268">
        <f t="shared" si="1"/>
        <v>0</v>
      </c>
      <c r="CJ34" s="73"/>
      <c r="CK34" s="247"/>
    </row>
    <row r="35" spans="2:89" ht="17" thickBot="1" x14ac:dyDescent="0.25">
      <c r="B35" s="194"/>
      <c r="C35" s="195" t="s">
        <v>3</v>
      </c>
      <c r="D35" s="196"/>
      <c r="E35" s="197"/>
      <c r="F35" s="198"/>
      <c r="G35" s="199"/>
      <c r="H35" s="196"/>
      <c r="I35" s="200"/>
      <c r="J35" s="198"/>
      <c r="K35" s="199"/>
      <c r="L35" s="196"/>
      <c r="M35" s="200"/>
      <c r="N35" s="198"/>
      <c r="O35" s="201"/>
      <c r="P35" s="198"/>
      <c r="Q35" s="200"/>
      <c r="R35" s="198"/>
      <c r="S35" s="199"/>
      <c r="T35" s="219"/>
      <c r="U35" s="220"/>
      <c r="V35" s="220"/>
      <c r="W35" s="221"/>
      <c r="X35" s="219"/>
      <c r="Y35" s="220"/>
      <c r="Z35" s="222"/>
      <c r="AA35" s="202">
        <f t="shared" si="5"/>
        <v>0</v>
      </c>
      <c r="AD35" s="248"/>
      <c r="AE35" s="249" t="s">
        <v>3</v>
      </c>
      <c r="AF35" s="250"/>
      <c r="AG35" s="250"/>
      <c r="AH35" s="250"/>
      <c r="AI35" s="250"/>
      <c r="AJ35" s="250"/>
      <c r="AK35" s="251">
        <f t="shared" si="0"/>
        <v>0</v>
      </c>
      <c r="AL35" s="73"/>
      <c r="AM35" s="73"/>
      <c r="AN35" s="194"/>
      <c r="AO35" s="195" t="s">
        <v>3</v>
      </c>
      <c r="AP35" s="260"/>
      <c r="AQ35" s="261"/>
      <c r="AR35" s="262"/>
      <c r="AS35" s="263"/>
      <c r="AT35" s="260"/>
      <c r="AU35" s="264"/>
      <c r="AV35" s="262"/>
      <c r="AW35" s="263"/>
      <c r="AX35" s="260"/>
      <c r="AY35" s="264"/>
      <c r="AZ35" s="262"/>
      <c r="BA35" s="265"/>
      <c r="BB35" s="262"/>
      <c r="BC35" s="264"/>
      <c r="BD35" s="262"/>
      <c r="BE35" s="263"/>
      <c r="BF35" s="299"/>
      <c r="BG35" s="300"/>
      <c r="BH35" s="300"/>
      <c r="BI35" s="301"/>
      <c r="BJ35" s="299"/>
      <c r="BK35" s="300"/>
      <c r="BL35" s="302"/>
      <c r="BM35" s="266">
        <f t="shared" si="6"/>
        <v>0</v>
      </c>
      <c r="BN35" s="73"/>
      <c r="BO35" s="73"/>
      <c r="BP35" s="89" t="s">
        <v>119</v>
      </c>
      <c r="BQ35" s="267" t="s">
        <v>3</v>
      </c>
      <c r="BR35" s="95"/>
      <c r="BS35" s="96"/>
      <c r="BT35" s="95"/>
      <c r="BU35" s="96"/>
      <c r="BV35" s="95"/>
      <c r="BW35" s="97">
        <v>5</v>
      </c>
      <c r="BX35" s="92">
        <f t="shared" si="7"/>
        <v>5</v>
      </c>
      <c r="BY35" s="73"/>
      <c r="BZ35" s="247"/>
      <c r="CA35" s="89"/>
      <c r="CB35" s="267" t="s">
        <v>3</v>
      </c>
      <c r="CC35" s="284"/>
      <c r="CD35" s="285"/>
      <c r="CE35" s="284"/>
      <c r="CF35" s="285"/>
      <c r="CG35" s="284"/>
      <c r="CH35" s="286"/>
      <c r="CI35" s="268">
        <f t="shared" si="1"/>
        <v>0</v>
      </c>
      <c r="CJ35" s="73"/>
      <c r="CK35" s="247"/>
    </row>
    <row r="36" spans="2:89" ht="16" thickBot="1" x14ac:dyDescent="0.25">
      <c r="B36" s="203"/>
      <c r="C36" s="195" t="s">
        <v>4</v>
      </c>
      <c r="D36" s="204"/>
      <c r="E36" s="205"/>
      <c r="F36" s="206"/>
      <c r="G36" s="207"/>
      <c r="H36" s="204"/>
      <c r="I36" s="208"/>
      <c r="J36" s="206"/>
      <c r="K36" s="207"/>
      <c r="L36" s="204"/>
      <c r="M36" s="208"/>
      <c r="N36" s="206"/>
      <c r="O36" s="209"/>
      <c r="P36" s="206"/>
      <c r="Q36" s="208"/>
      <c r="R36" s="206"/>
      <c r="S36" s="207"/>
      <c r="T36" s="205"/>
      <c r="U36" s="208"/>
      <c r="V36" s="208"/>
      <c r="W36" s="207"/>
      <c r="X36" s="205"/>
      <c r="Y36" s="208"/>
      <c r="Z36" s="209"/>
      <c r="AA36" s="210">
        <f t="shared" si="5"/>
        <v>0</v>
      </c>
      <c r="AD36" s="256"/>
      <c r="AE36" s="257" t="s">
        <v>4</v>
      </c>
      <c r="AF36" s="258"/>
      <c r="AG36" s="258"/>
      <c r="AH36" s="258"/>
      <c r="AI36" s="258"/>
      <c r="AJ36" s="258"/>
      <c r="AK36" s="259">
        <f t="shared" si="0"/>
        <v>0</v>
      </c>
      <c r="AL36" s="73"/>
      <c r="AM36" s="73"/>
      <c r="AN36" s="203"/>
      <c r="AO36" s="195" t="s">
        <v>4</v>
      </c>
      <c r="AP36" s="276"/>
      <c r="AQ36" s="277"/>
      <c r="AR36" s="278"/>
      <c r="AS36" s="279"/>
      <c r="AT36" s="276"/>
      <c r="AU36" s="280"/>
      <c r="AV36" s="278"/>
      <c r="AW36" s="279"/>
      <c r="AX36" s="276"/>
      <c r="AY36" s="280"/>
      <c r="AZ36" s="278"/>
      <c r="BA36" s="281"/>
      <c r="BB36" s="278"/>
      <c r="BC36" s="280"/>
      <c r="BD36" s="278"/>
      <c r="BE36" s="279"/>
      <c r="BF36" s="277"/>
      <c r="BG36" s="280"/>
      <c r="BH36" s="280"/>
      <c r="BI36" s="279"/>
      <c r="BJ36" s="277"/>
      <c r="BK36" s="280"/>
      <c r="BL36" s="281"/>
      <c r="BM36" s="282">
        <f t="shared" si="6"/>
        <v>0</v>
      </c>
      <c r="BN36" s="73"/>
      <c r="BO36" s="73"/>
      <c r="BP36" s="90"/>
      <c r="BQ36" s="283" t="s">
        <v>4</v>
      </c>
      <c r="BR36" s="104"/>
      <c r="BS36" s="105"/>
      <c r="BT36" s="104"/>
      <c r="BU36" s="105"/>
      <c r="BV36" s="104"/>
      <c r="BW36" s="106">
        <v>1</v>
      </c>
      <c r="BX36" s="92">
        <f t="shared" si="7"/>
        <v>1</v>
      </c>
      <c r="BY36" s="73"/>
      <c r="BZ36" s="247"/>
      <c r="CA36" s="90"/>
      <c r="CB36" s="283" t="s">
        <v>4</v>
      </c>
      <c r="CC36" s="312"/>
      <c r="CD36" s="313"/>
      <c r="CE36" s="312"/>
      <c r="CF36" s="313"/>
      <c r="CG36" s="312"/>
      <c r="CH36" s="314"/>
      <c r="CI36" s="268">
        <f t="shared" si="1"/>
        <v>0</v>
      </c>
      <c r="CJ36" s="73"/>
      <c r="CK36" s="247"/>
    </row>
    <row r="37" spans="2:89" ht="16" thickBot="1" x14ac:dyDescent="0.25">
      <c r="B37" s="211"/>
      <c r="C37" s="195" t="s">
        <v>5</v>
      </c>
      <c r="D37" s="212">
        <f>D35+D36</f>
        <v>0</v>
      </c>
      <c r="E37" s="213">
        <f t="shared" ref="E37:Z37" si="30">E35+E36</f>
        <v>0</v>
      </c>
      <c r="F37" s="214">
        <f t="shared" si="30"/>
        <v>0</v>
      </c>
      <c r="G37" s="215">
        <f t="shared" si="30"/>
        <v>0</v>
      </c>
      <c r="H37" s="212">
        <f t="shared" si="30"/>
        <v>0</v>
      </c>
      <c r="I37" s="216">
        <f t="shared" si="30"/>
        <v>0</v>
      </c>
      <c r="J37" s="214">
        <f t="shared" si="30"/>
        <v>0</v>
      </c>
      <c r="K37" s="215">
        <f t="shared" si="30"/>
        <v>0</v>
      </c>
      <c r="L37" s="212">
        <f t="shared" si="30"/>
        <v>0</v>
      </c>
      <c r="M37" s="216">
        <f t="shared" si="30"/>
        <v>0</v>
      </c>
      <c r="N37" s="214">
        <f t="shared" si="30"/>
        <v>0</v>
      </c>
      <c r="O37" s="217">
        <f t="shared" si="30"/>
        <v>0</v>
      </c>
      <c r="P37" s="214">
        <f t="shared" si="30"/>
        <v>0</v>
      </c>
      <c r="Q37" s="216">
        <f t="shared" si="30"/>
        <v>0</v>
      </c>
      <c r="R37" s="214">
        <f t="shared" si="30"/>
        <v>0</v>
      </c>
      <c r="S37" s="215">
        <f t="shared" si="30"/>
        <v>0</v>
      </c>
      <c r="T37" s="223">
        <f t="shared" si="30"/>
        <v>0</v>
      </c>
      <c r="U37" s="224">
        <f t="shared" si="30"/>
        <v>0</v>
      </c>
      <c r="V37" s="224">
        <f t="shared" si="30"/>
        <v>0</v>
      </c>
      <c r="W37" s="225">
        <f t="shared" si="30"/>
        <v>0</v>
      </c>
      <c r="X37" s="223">
        <f t="shared" si="30"/>
        <v>0</v>
      </c>
      <c r="Y37" s="224">
        <f t="shared" si="30"/>
        <v>0</v>
      </c>
      <c r="Z37" s="226">
        <f t="shared" si="30"/>
        <v>0</v>
      </c>
      <c r="AA37" s="218">
        <f t="shared" si="5"/>
        <v>0</v>
      </c>
      <c r="AD37" s="272"/>
      <c r="AE37" s="273" t="s">
        <v>5</v>
      </c>
      <c r="AF37" s="274">
        <f>SUM(AF35:AF36)</f>
        <v>0</v>
      </c>
      <c r="AG37" s="274">
        <f>SUM(AG35:AG36)</f>
        <v>0</v>
      </c>
      <c r="AH37" s="274">
        <f>SUM(AH35:AH36)</f>
        <v>0</v>
      </c>
      <c r="AI37" s="274">
        <f>SUM(AI35:AI36)</f>
        <v>0</v>
      </c>
      <c r="AJ37" s="274">
        <f>SUM(AJ35:AJ36)</f>
        <v>0</v>
      </c>
      <c r="AK37" s="275">
        <f t="shared" si="0"/>
        <v>0</v>
      </c>
      <c r="AL37" s="73"/>
      <c r="AM37" s="73"/>
      <c r="AN37" s="211"/>
      <c r="AO37" s="195" t="s">
        <v>5</v>
      </c>
      <c r="AP37" s="288">
        <f>AP35+AP36</f>
        <v>0</v>
      </c>
      <c r="AQ37" s="289">
        <f t="shared" ref="AQ37:BL37" si="31">AQ35+AQ36</f>
        <v>0</v>
      </c>
      <c r="AR37" s="290">
        <f t="shared" si="31"/>
        <v>0</v>
      </c>
      <c r="AS37" s="291">
        <f t="shared" si="31"/>
        <v>0</v>
      </c>
      <c r="AT37" s="288">
        <f t="shared" si="31"/>
        <v>0</v>
      </c>
      <c r="AU37" s="292">
        <f t="shared" si="31"/>
        <v>0</v>
      </c>
      <c r="AV37" s="290">
        <f t="shared" si="31"/>
        <v>0</v>
      </c>
      <c r="AW37" s="291">
        <f t="shared" si="31"/>
        <v>0</v>
      </c>
      <c r="AX37" s="288">
        <f t="shared" si="31"/>
        <v>0</v>
      </c>
      <c r="AY37" s="292">
        <f t="shared" si="31"/>
        <v>0</v>
      </c>
      <c r="AZ37" s="290">
        <f t="shared" si="31"/>
        <v>0</v>
      </c>
      <c r="BA37" s="293">
        <f t="shared" si="31"/>
        <v>0</v>
      </c>
      <c r="BB37" s="290">
        <f t="shared" si="31"/>
        <v>0</v>
      </c>
      <c r="BC37" s="292">
        <f t="shared" si="31"/>
        <v>0</v>
      </c>
      <c r="BD37" s="290">
        <f t="shared" si="31"/>
        <v>0</v>
      </c>
      <c r="BE37" s="291">
        <f t="shared" si="31"/>
        <v>0</v>
      </c>
      <c r="BF37" s="307">
        <f t="shared" si="31"/>
        <v>0</v>
      </c>
      <c r="BG37" s="308">
        <f t="shared" si="31"/>
        <v>0</v>
      </c>
      <c r="BH37" s="308">
        <f t="shared" si="31"/>
        <v>0</v>
      </c>
      <c r="BI37" s="309">
        <f t="shared" si="31"/>
        <v>0</v>
      </c>
      <c r="BJ37" s="307">
        <f t="shared" si="31"/>
        <v>0</v>
      </c>
      <c r="BK37" s="308">
        <f t="shared" si="31"/>
        <v>0</v>
      </c>
      <c r="BL37" s="310">
        <f t="shared" si="31"/>
        <v>0</v>
      </c>
      <c r="BM37" s="294">
        <f t="shared" si="6"/>
        <v>0</v>
      </c>
      <c r="BN37" s="73"/>
      <c r="BO37" s="73"/>
      <c r="BP37" s="90"/>
      <c r="BQ37" s="283" t="s">
        <v>5</v>
      </c>
      <c r="BR37" s="104">
        <f t="shared" ref="BR37:BW37" si="32">SUM(BR35:BR36)</f>
        <v>0</v>
      </c>
      <c r="BS37" s="104">
        <f t="shared" si="32"/>
        <v>0</v>
      </c>
      <c r="BT37" s="104">
        <f t="shared" si="32"/>
        <v>0</v>
      </c>
      <c r="BU37" s="104">
        <f t="shared" si="32"/>
        <v>0</v>
      </c>
      <c r="BV37" s="104">
        <f t="shared" si="32"/>
        <v>0</v>
      </c>
      <c r="BW37" s="104">
        <f t="shared" si="32"/>
        <v>6</v>
      </c>
      <c r="BX37" s="92">
        <f>SUM(BR37:BW37)</f>
        <v>6</v>
      </c>
      <c r="BY37" s="73"/>
      <c r="BZ37" s="247"/>
      <c r="CA37" s="90"/>
      <c r="CB37" s="283" t="s">
        <v>5</v>
      </c>
      <c r="CC37" s="312"/>
      <c r="CD37" s="313"/>
      <c r="CE37" s="312"/>
      <c r="CF37" s="313"/>
      <c r="CG37" s="312"/>
      <c r="CH37" s="314"/>
      <c r="CI37" s="268">
        <f t="shared" si="1"/>
        <v>0</v>
      </c>
      <c r="CJ37" s="73"/>
      <c r="CK37" s="247"/>
    </row>
    <row r="38" spans="2:89" ht="17" thickBot="1" x14ac:dyDescent="0.25">
      <c r="B38" s="194"/>
      <c r="C38" s="195" t="s">
        <v>3</v>
      </c>
      <c r="D38" s="196"/>
      <c r="E38" s="197"/>
      <c r="F38" s="198"/>
      <c r="G38" s="199"/>
      <c r="H38" s="196"/>
      <c r="I38" s="200"/>
      <c r="J38" s="198"/>
      <c r="K38" s="199"/>
      <c r="L38" s="196"/>
      <c r="M38" s="200"/>
      <c r="N38" s="198"/>
      <c r="O38" s="201"/>
      <c r="P38" s="198"/>
      <c r="Q38" s="200"/>
      <c r="R38" s="198"/>
      <c r="S38" s="199"/>
      <c r="T38" s="197"/>
      <c r="U38" s="200"/>
      <c r="V38" s="200"/>
      <c r="W38" s="199"/>
      <c r="X38" s="197"/>
      <c r="Y38" s="200"/>
      <c r="Z38" s="201"/>
      <c r="AA38" s="202">
        <f t="shared" si="5"/>
        <v>0</v>
      </c>
      <c r="AD38" s="248"/>
      <c r="AE38" s="249" t="s">
        <v>3</v>
      </c>
      <c r="AF38" s="250"/>
      <c r="AG38" s="250"/>
      <c r="AH38" s="250"/>
      <c r="AI38" s="250"/>
      <c r="AJ38" s="250"/>
      <c r="AK38" s="251">
        <f t="shared" si="0"/>
        <v>0</v>
      </c>
      <c r="AL38" s="73"/>
      <c r="AM38" s="73"/>
      <c r="AN38" s="194"/>
      <c r="AO38" s="195" t="s">
        <v>3</v>
      </c>
      <c r="AP38" s="260"/>
      <c r="AQ38" s="261"/>
      <c r="AR38" s="262"/>
      <c r="AS38" s="263"/>
      <c r="AT38" s="260"/>
      <c r="AU38" s="264"/>
      <c r="AV38" s="262"/>
      <c r="AW38" s="263"/>
      <c r="AX38" s="260"/>
      <c r="AY38" s="264"/>
      <c r="AZ38" s="262"/>
      <c r="BA38" s="265"/>
      <c r="BB38" s="262"/>
      <c r="BC38" s="264"/>
      <c r="BD38" s="262"/>
      <c r="BE38" s="263"/>
      <c r="BF38" s="261"/>
      <c r="BG38" s="264"/>
      <c r="BH38" s="264"/>
      <c r="BI38" s="263"/>
      <c r="BJ38" s="261"/>
      <c r="BK38" s="264"/>
      <c r="BL38" s="265"/>
      <c r="BM38" s="266">
        <f t="shared" si="6"/>
        <v>0</v>
      </c>
      <c r="BN38" s="73"/>
      <c r="BO38" s="73"/>
      <c r="BP38" s="75" t="s">
        <v>120</v>
      </c>
      <c r="BQ38" s="267" t="s">
        <v>3</v>
      </c>
      <c r="BR38" s="95"/>
      <c r="BS38" s="96"/>
      <c r="BT38" s="95"/>
      <c r="BU38" s="96"/>
      <c r="BV38" s="95"/>
      <c r="BW38" s="97"/>
      <c r="BX38" s="92">
        <f t="shared" si="7"/>
        <v>0</v>
      </c>
      <c r="BY38" s="73"/>
      <c r="BZ38" s="247"/>
      <c r="CA38" s="75"/>
      <c r="CB38" s="267" t="s">
        <v>3</v>
      </c>
      <c r="CC38" s="284"/>
      <c r="CD38" s="285"/>
      <c r="CE38" s="284"/>
      <c r="CF38" s="285"/>
      <c r="CG38" s="284"/>
      <c r="CH38" s="286"/>
      <c r="CI38" s="268">
        <f t="shared" si="1"/>
        <v>0</v>
      </c>
      <c r="CJ38" s="73"/>
      <c r="CK38" s="247"/>
    </row>
    <row r="39" spans="2:89" ht="16" thickBot="1" x14ac:dyDescent="0.25">
      <c r="B39" s="203"/>
      <c r="C39" s="195" t="s">
        <v>4</v>
      </c>
      <c r="D39" s="204"/>
      <c r="E39" s="205"/>
      <c r="F39" s="206"/>
      <c r="G39" s="207"/>
      <c r="H39" s="204"/>
      <c r="I39" s="208"/>
      <c r="J39" s="206"/>
      <c r="K39" s="207"/>
      <c r="L39" s="204"/>
      <c r="M39" s="208"/>
      <c r="N39" s="206"/>
      <c r="O39" s="209"/>
      <c r="P39" s="206"/>
      <c r="Q39" s="208"/>
      <c r="R39" s="206"/>
      <c r="S39" s="207"/>
      <c r="T39" s="205"/>
      <c r="U39" s="208"/>
      <c r="V39" s="208"/>
      <c r="W39" s="207"/>
      <c r="X39" s="205"/>
      <c r="Y39" s="208"/>
      <c r="Z39" s="209"/>
      <c r="AA39" s="210">
        <f t="shared" si="5"/>
        <v>0</v>
      </c>
      <c r="AD39" s="256"/>
      <c r="AE39" s="257" t="s">
        <v>4</v>
      </c>
      <c r="AF39" s="258"/>
      <c r="AG39" s="258"/>
      <c r="AH39" s="258"/>
      <c r="AI39" s="258"/>
      <c r="AJ39" s="258"/>
      <c r="AK39" s="259">
        <f t="shared" si="0"/>
        <v>0</v>
      </c>
      <c r="AL39" s="73"/>
      <c r="AM39" s="73"/>
      <c r="AN39" s="203"/>
      <c r="AO39" s="195" t="s">
        <v>4</v>
      </c>
      <c r="AP39" s="276"/>
      <c r="AQ39" s="277"/>
      <c r="AR39" s="278"/>
      <c r="AS39" s="279"/>
      <c r="AT39" s="276"/>
      <c r="AU39" s="280"/>
      <c r="AV39" s="278"/>
      <c r="AW39" s="279"/>
      <c r="AX39" s="276"/>
      <c r="AY39" s="280"/>
      <c r="AZ39" s="278"/>
      <c r="BA39" s="281"/>
      <c r="BB39" s="278"/>
      <c r="BC39" s="280"/>
      <c r="BD39" s="278"/>
      <c r="BE39" s="279"/>
      <c r="BF39" s="277"/>
      <c r="BG39" s="280"/>
      <c r="BH39" s="280"/>
      <c r="BI39" s="279"/>
      <c r="BJ39" s="277"/>
      <c r="BK39" s="280"/>
      <c r="BL39" s="281"/>
      <c r="BM39" s="282">
        <f t="shared" si="6"/>
        <v>0</v>
      </c>
      <c r="BN39" s="73"/>
      <c r="BO39" s="73"/>
      <c r="BP39" s="76"/>
      <c r="BQ39" s="283" t="s">
        <v>4</v>
      </c>
      <c r="BR39" s="95"/>
      <c r="BS39" s="96"/>
      <c r="BT39" s="95"/>
      <c r="BU39" s="96"/>
      <c r="BV39" s="95"/>
      <c r="BW39" s="97"/>
      <c r="BX39" s="92">
        <f t="shared" si="7"/>
        <v>0</v>
      </c>
      <c r="BY39" s="73"/>
      <c r="BZ39" s="247"/>
      <c r="CA39" s="76"/>
      <c r="CB39" s="283" t="s">
        <v>4</v>
      </c>
      <c r="CC39" s="284"/>
      <c r="CD39" s="285"/>
      <c r="CE39" s="284"/>
      <c r="CF39" s="285"/>
      <c r="CG39" s="284"/>
      <c r="CH39" s="286"/>
      <c r="CI39" s="268">
        <f t="shared" si="1"/>
        <v>0</v>
      </c>
      <c r="CJ39" s="73"/>
      <c r="CK39" s="247"/>
    </row>
    <row r="40" spans="2:89" ht="16" thickBot="1" x14ac:dyDescent="0.25">
      <c r="B40" s="211"/>
      <c r="C40" s="195" t="s">
        <v>5</v>
      </c>
      <c r="D40" s="212">
        <f>D38+D39</f>
        <v>0</v>
      </c>
      <c r="E40" s="213">
        <f t="shared" ref="E40:Z40" si="33">E38+E39</f>
        <v>0</v>
      </c>
      <c r="F40" s="214">
        <f t="shared" si="33"/>
        <v>0</v>
      </c>
      <c r="G40" s="215">
        <f t="shared" si="33"/>
        <v>0</v>
      </c>
      <c r="H40" s="212">
        <f t="shared" si="33"/>
        <v>0</v>
      </c>
      <c r="I40" s="216">
        <f t="shared" si="33"/>
        <v>0</v>
      </c>
      <c r="J40" s="214">
        <f t="shared" si="33"/>
        <v>0</v>
      </c>
      <c r="K40" s="215">
        <f t="shared" si="33"/>
        <v>0</v>
      </c>
      <c r="L40" s="212">
        <f t="shared" si="33"/>
        <v>0</v>
      </c>
      <c r="M40" s="216">
        <f t="shared" si="33"/>
        <v>0</v>
      </c>
      <c r="N40" s="214">
        <f t="shared" si="33"/>
        <v>0</v>
      </c>
      <c r="O40" s="217">
        <f t="shared" si="33"/>
        <v>0</v>
      </c>
      <c r="P40" s="214">
        <f t="shared" si="33"/>
        <v>0</v>
      </c>
      <c r="Q40" s="216">
        <f t="shared" si="33"/>
        <v>0</v>
      </c>
      <c r="R40" s="214">
        <f t="shared" si="33"/>
        <v>0</v>
      </c>
      <c r="S40" s="215">
        <f t="shared" si="33"/>
        <v>0</v>
      </c>
      <c r="T40" s="213">
        <f t="shared" si="33"/>
        <v>0</v>
      </c>
      <c r="U40" s="216">
        <f t="shared" si="33"/>
        <v>0</v>
      </c>
      <c r="V40" s="216">
        <f t="shared" si="33"/>
        <v>0</v>
      </c>
      <c r="W40" s="215">
        <f t="shared" si="33"/>
        <v>0</v>
      </c>
      <c r="X40" s="213">
        <f t="shared" si="33"/>
        <v>0</v>
      </c>
      <c r="Y40" s="216">
        <f t="shared" si="33"/>
        <v>0</v>
      </c>
      <c r="Z40" s="217">
        <f t="shared" si="33"/>
        <v>0</v>
      </c>
      <c r="AA40" s="218">
        <f t="shared" si="5"/>
        <v>0</v>
      </c>
      <c r="AD40" s="272"/>
      <c r="AE40" s="326" t="s">
        <v>5</v>
      </c>
      <c r="AF40" s="274">
        <f>SUM(AF38:AF39)</f>
        <v>0</v>
      </c>
      <c r="AG40" s="274">
        <f>SUM(AG38:AG39)</f>
        <v>0</v>
      </c>
      <c r="AH40" s="274">
        <f>SUM(AH38:AH39)</f>
        <v>0</v>
      </c>
      <c r="AI40" s="274">
        <f>SUM(AI38:AI39)</f>
        <v>0</v>
      </c>
      <c r="AJ40" s="274">
        <f>SUM(AJ38:AJ39)</f>
        <v>0</v>
      </c>
      <c r="AK40" s="275">
        <f t="shared" si="0"/>
        <v>0</v>
      </c>
      <c r="AL40" s="73"/>
      <c r="AM40" s="73"/>
      <c r="AN40" s="211"/>
      <c r="AO40" s="195" t="s">
        <v>5</v>
      </c>
      <c r="AP40" s="288">
        <f>AP38+AP39</f>
        <v>0</v>
      </c>
      <c r="AQ40" s="289">
        <f t="shared" ref="AQ40:BL40" si="34">AQ38+AQ39</f>
        <v>0</v>
      </c>
      <c r="AR40" s="290">
        <f t="shared" si="34"/>
        <v>0</v>
      </c>
      <c r="AS40" s="291">
        <f t="shared" si="34"/>
        <v>0</v>
      </c>
      <c r="AT40" s="288">
        <f t="shared" si="34"/>
        <v>0</v>
      </c>
      <c r="AU40" s="292">
        <f t="shared" si="34"/>
        <v>0</v>
      </c>
      <c r="AV40" s="290">
        <f t="shared" si="34"/>
        <v>0</v>
      </c>
      <c r="AW40" s="291">
        <f t="shared" si="34"/>
        <v>0</v>
      </c>
      <c r="AX40" s="288">
        <f t="shared" si="34"/>
        <v>0</v>
      </c>
      <c r="AY40" s="292">
        <f t="shared" si="34"/>
        <v>0</v>
      </c>
      <c r="AZ40" s="290">
        <f t="shared" si="34"/>
        <v>0</v>
      </c>
      <c r="BA40" s="293">
        <f t="shared" si="34"/>
        <v>0</v>
      </c>
      <c r="BB40" s="290">
        <f t="shared" si="34"/>
        <v>0</v>
      </c>
      <c r="BC40" s="292">
        <f t="shared" si="34"/>
        <v>0</v>
      </c>
      <c r="BD40" s="290">
        <f t="shared" si="34"/>
        <v>0</v>
      </c>
      <c r="BE40" s="291">
        <f t="shared" si="34"/>
        <v>0</v>
      </c>
      <c r="BF40" s="289">
        <f t="shared" si="34"/>
        <v>0</v>
      </c>
      <c r="BG40" s="292">
        <f t="shared" si="34"/>
        <v>0</v>
      </c>
      <c r="BH40" s="292">
        <f t="shared" si="34"/>
        <v>0</v>
      </c>
      <c r="BI40" s="291">
        <f t="shared" si="34"/>
        <v>0</v>
      </c>
      <c r="BJ40" s="289">
        <f t="shared" si="34"/>
        <v>0</v>
      </c>
      <c r="BK40" s="292">
        <f t="shared" si="34"/>
        <v>0</v>
      </c>
      <c r="BL40" s="293">
        <f t="shared" si="34"/>
        <v>0</v>
      </c>
      <c r="BM40" s="294">
        <f t="shared" si="6"/>
        <v>0</v>
      </c>
      <c r="BN40" s="73"/>
      <c r="BO40" s="73"/>
      <c r="BP40" s="78"/>
      <c r="BQ40" s="283" t="s">
        <v>5</v>
      </c>
      <c r="BR40" s="95">
        <f t="shared" ref="BR40:BW40" si="35">SUM(BR38:BR39)</f>
        <v>0</v>
      </c>
      <c r="BS40" s="95">
        <f t="shared" si="35"/>
        <v>0</v>
      </c>
      <c r="BT40" s="95">
        <f t="shared" si="35"/>
        <v>0</v>
      </c>
      <c r="BU40" s="95">
        <f t="shared" si="35"/>
        <v>0</v>
      </c>
      <c r="BV40" s="95">
        <f t="shared" si="35"/>
        <v>0</v>
      </c>
      <c r="BW40" s="95">
        <f t="shared" si="35"/>
        <v>0</v>
      </c>
      <c r="BX40" s="92">
        <f t="shared" si="7"/>
        <v>0</v>
      </c>
      <c r="BY40" s="73"/>
      <c r="BZ40" s="247"/>
      <c r="CA40" s="78"/>
      <c r="CB40" s="283" t="s">
        <v>5</v>
      </c>
      <c r="CC40" s="284"/>
      <c r="CD40" s="285"/>
      <c r="CE40" s="284"/>
      <c r="CF40" s="285"/>
      <c r="CG40" s="284"/>
      <c r="CH40" s="286"/>
      <c r="CI40" s="268">
        <f t="shared" si="1"/>
        <v>0</v>
      </c>
      <c r="CJ40" s="73"/>
      <c r="CK40" s="247"/>
    </row>
    <row r="41" spans="2:89" ht="17" thickBot="1" x14ac:dyDescent="0.25">
      <c r="B41" s="194"/>
      <c r="C41" s="195" t="s">
        <v>3</v>
      </c>
      <c r="D41" s="196"/>
      <c r="E41" s="197"/>
      <c r="F41" s="198"/>
      <c r="G41" s="199"/>
      <c r="H41" s="196"/>
      <c r="I41" s="200"/>
      <c r="J41" s="198"/>
      <c r="K41" s="199"/>
      <c r="L41" s="196"/>
      <c r="M41" s="200"/>
      <c r="N41" s="198"/>
      <c r="O41" s="201"/>
      <c r="P41" s="198"/>
      <c r="Q41" s="200"/>
      <c r="R41" s="198"/>
      <c r="S41" s="199"/>
      <c r="T41" s="219"/>
      <c r="U41" s="220"/>
      <c r="V41" s="220"/>
      <c r="W41" s="221"/>
      <c r="X41" s="219"/>
      <c r="Y41" s="220"/>
      <c r="Z41" s="222"/>
      <c r="AA41" s="202">
        <f t="shared" si="5"/>
        <v>0</v>
      </c>
      <c r="AD41" s="248"/>
      <c r="AE41" s="249" t="s">
        <v>3</v>
      </c>
      <c r="AF41" s="250"/>
      <c r="AG41" s="250"/>
      <c r="AH41" s="250"/>
      <c r="AI41" s="250"/>
      <c r="AJ41" s="250"/>
      <c r="AK41" s="251">
        <f t="shared" si="0"/>
        <v>0</v>
      </c>
      <c r="AL41" s="73"/>
      <c r="AM41" s="73"/>
      <c r="AN41" s="194"/>
      <c r="AO41" s="195" t="s">
        <v>3</v>
      </c>
      <c r="AP41" s="260"/>
      <c r="AQ41" s="261"/>
      <c r="AR41" s="262"/>
      <c r="AS41" s="263"/>
      <c r="AT41" s="260"/>
      <c r="AU41" s="264"/>
      <c r="AV41" s="262"/>
      <c r="AW41" s="263"/>
      <c r="AX41" s="260"/>
      <c r="AY41" s="264"/>
      <c r="AZ41" s="262"/>
      <c r="BA41" s="265"/>
      <c r="BB41" s="262"/>
      <c r="BC41" s="264"/>
      <c r="BD41" s="262"/>
      <c r="BE41" s="263"/>
      <c r="BF41" s="299"/>
      <c r="BG41" s="300"/>
      <c r="BH41" s="300"/>
      <c r="BI41" s="301"/>
      <c r="BJ41" s="299"/>
      <c r="BK41" s="300"/>
      <c r="BL41" s="302"/>
      <c r="BM41" s="266">
        <f t="shared" si="6"/>
        <v>0</v>
      </c>
      <c r="BN41" s="73"/>
      <c r="BO41" s="73"/>
      <c r="BP41" s="89" t="s">
        <v>121</v>
      </c>
      <c r="BQ41" s="267" t="s">
        <v>3</v>
      </c>
      <c r="BR41" s="95"/>
      <c r="BS41" s="96"/>
      <c r="BT41" s="95"/>
      <c r="BU41" s="96"/>
      <c r="BV41" s="95"/>
      <c r="BW41" s="97">
        <v>2</v>
      </c>
      <c r="BX41" s="92">
        <f t="shared" si="7"/>
        <v>2</v>
      </c>
      <c r="BY41" s="73"/>
      <c r="BZ41" s="247"/>
      <c r="CA41" s="89"/>
      <c r="CB41" s="267" t="s">
        <v>3</v>
      </c>
      <c r="CC41" s="284"/>
      <c r="CD41" s="285"/>
      <c r="CE41" s="284"/>
      <c r="CF41" s="285"/>
      <c r="CG41" s="284"/>
      <c r="CH41" s="286"/>
      <c r="CI41" s="268">
        <f t="shared" si="1"/>
        <v>0</v>
      </c>
      <c r="CJ41" s="73"/>
      <c r="CK41" s="247"/>
    </row>
    <row r="42" spans="2:89" ht="16" thickBot="1" x14ac:dyDescent="0.25">
      <c r="B42" s="203"/>
      <c r="C42" s="195" t="s">
        <v>4</v>
      </c>
      <c r="D42" s="204"/>
      <c r="E42" s="205"/>
      <c r="F42" s="206"/>
      <c r="G42" s="207"/>
      <c r="H42" s="204"/>
      <c r="I42" s="208"/>
      <c r="J42" s="206"/>
      <c r="K42" s="207"/>
      <c r="L42" s="204"/>
      <c r="M42" s="208"/>
      <c r="N42" s="206"/>
      <c r="O42" s="209"/>
      <c r="P42" s="206"/>
      <c r="Q42" s="208"/>
      <c r="R42" s="206"/>
      <c r="S42" s="207"/>
      <c r="T42" s="205"/>
      <c r="U42" s="208"/>
      <c r="V42" s="208"/>
      <c r="W42" s="207"/>
      <c r="X42" s="205"/>
      <c r="Y42" s="208"/>
      <c r="Z42" s="209"/>
      <c r="AA42" s="210">
        <f t="shared" si="5"/>
        <v>0</v>
      </c>
      <c r="AD42" s="256"/>
      <c r="AE42" s="257" t="s">
        <v>4</v>
      </c>
      <c r="AF42" s="258"/>
      <c r="AG42" s="258"/>
      <c r="AH42" s="258"/>
      <c r="AI42" s="258"/>
      <c r="AJ42" s="258"/>
      <c r="AK42" s="259">
        <f t="shared" si="0"/>
        <v>0</v>
      </c>
      <c r="AL42" s="73"/>
      <c r="AM42" s="73"/>
      <c r="AN42" s="203"/>
      <c r="AO42" s="195" t="s">
        <v>4</v>
      </c>
      <c r="AP42" s="276"/>
      <c r="AQ42" s="277"/>
      <c r="AR42" s="278"/>
      <c r="AS42" s="279"/>
      <c r="AT42" s="276"/>
      <c r="AU42" s="280"/>
      <c r="AV42" s="278"/>
      <c r="AW42" s="279"/>
      <c r="AX42" s="276"/>
      <c r="AY42" s="280"/>
      <c r="AZ42" s="278"/>
      <c r="BA42" s="281"/>
      <c r="BB42" s="278"/>
      <c r="BC42" s="280"/>
      <c r="BD42" s="278"/>
      <c r="BE42" s="279"/>
      <c r="BF42" s="277"/>
      <c r="BG42" s="280"/>
      <c r="BH42" s="280"/>
      <c r="BI42" s="279"/>
      <c r="BJ42" s="277"/>
      <c r="BK42" s="280"/>
      <c r="BL42" s="281"/>
      <c r="BM42" s="282">
        <f t="shared" si="6"/>
        <v>0</v>
      </c>
      <c r="BN42" s="73"/>
      <c r="BO42" s="73"/>
      <c r="BP42" s="76"/>
      <c r="BQ42" s="283" t="s">
        <v>4</v>
      </c>
      <c r="BR42" s="95"/>
      <c r="BS42" s="96"/>
      <c r="BT42" s="95">
        <v>1</v>
      </c>
      <c r="BU42" s="96"/>
      <c r="BV42" s="95"/>
      <c r="BW42" s="97">
        <v>5</v>
      </c>
      <c r="BX42" s="92">
        <f>SUM(BR42:BW42)</f>
        <v>6</v>
      </c>
      <c r="BY42" s="73"/>
      <c r="BZ42" s="247"/>
      <c r="CA42" s="76"/>
      <c r="CB42" s="283" t="s">
        <v>4</v>
      </c>
      <c r="CC42" s="284"/>
      <c r="CD42" s="285"/>
      <c r="CE42" s="284"/>
      <c r="CF42" s="285"/>
      <c r="CG42" s="284"/>
      <c r="CH42" s="286"/>
      <c r="CI42" s="268">
        <f t="shared" si="1"/>
        <v>0</v>
      </c>
      <c r="CJ42" s="73"/>
      <c r="CK42" s="247"/>
    </row>
    <row r="43" spans="2:89" ht="16" thickBot="1" x14ac:dyDescent="0.25">
      <c r="B43" s="211"/>
      <c r="C43" s="195" t="s">
        <v>5</v>
      </c>
      <c r="D43" s="212">
        <f>D41+D42</f>
        <v>0</v>
      </c>
      <c r="E43" s="213">
        <f t="shared" ref="E43:Z43" si="36">E41+E42</f>
        <v>0</v>
      </c>
      <c r="F43" s="214">
        <f t="shared" si="36"/>
        <v>0</v>
      </c>
      <c r="G43" s="215">
        <f t="shared" si="36"/>
        <v>0</v>
      </c>
      <c r="H43" s="212">
        <f t="shared" si="36"/>
        <v>0</v>
      </c>
      <c r="I43" s="216">
        <f t="shared" si="36"/>
        <v>0</v>
      </c>
      <c r="J43" s="214">
        <f t="shared" si="36"/>
        <v>0</v>
      </c>
      <c r="K43" s="215">
        <f t="shared" si="36"/>
        <v>0</v>
      </c>
      <c r="L43" s="212">
        <f t="shared" si="36"/>
        <v>0</v>
      </c>
      <c r="M43" s="216">
        <f t="shared" si="36"/>
        <v>0</v>
      </c>
      <c r="N43" s="214">
        <f t="shared" si="36"/>
        <v>0</v>
      </c>
      <c r="O43" s="217">
        <f t="shared" si="36"/>
        <v>0</v>
      </c>
      <c r="P43" s="214">
        <f t="shared" si="36"/>
        <v>0</v>
      </c>
      <c r="Q43" s="216">
        <f t="shared" si="36"/>
        <v>0</v>
      </c>
      <c r="R43" s="227">
        <f t="shared" si="36"/>
        <v>0</v>
      </c>
      <c r="S43" s="225">
        <f t="shared" si="36"/>
        <v>0</v>
      </c>
      <c r="T43" s="223">
        <f t="shared" si="36"/>
        <v>0</v>
      </c>
      <c r="U43" s="224">
        <f t="shared" si="36"/>
        <v>0</v>
      </c>
      <c r="V43" s="224">
        <f t="shared" si="36"/>
        <v>0</v>
      </c>
      <c r="W43" s="227">
        <f t="shared" si="36"/>
        <v>0</v>
      </c>
      <c r="X43" s="213">
        <f t="shared" si="36"/>
        <v>0</v>
      </c>
      <c r="Y43" s="216">
        <f t="shared" si="36"/>
        <v>0</v>
      </c>
      <c r="Z43" s="217">
        <f t="shared" si="36"/>
        <v>0</v>
      </c>
      <c r="AA43" s="218">
        <f t="shared" si="5"/>
        <v>0</v>
      </c>
      <c r="AD43" s="272"/>
      <c r="AE43" s="326" t="s">
        <v>5</v>
      </c>
      <c r="AF43" s="274">
        <f>SUM(AF41:AF42)</f>
        <v>0</v>
      </c>
      <c r="AG43" s="274">
        <f>SUM(AG41:AG42)</f>
        <v>0</v>
      </c>
      <c r="AH43" s="274">
        <f>SUM(AH41:AH42)</f>
        <v>0</v>
      </c>
      <c r="AI43" s="274">
        <f>SUM(AI41:AI42)</f>
        <v>0</v>
      </c>
      <c r="AJ43" s="274">
        <f>SUM(AJ41:AJ42)</f>
        <v>0</v>
      </c>
      <c r="AK43" s="275">
        <f t="shared" si="0"/>
        <v>0</v>
      </c>
      <c r="AL43" s="73"/>
      <c r="AM43" s="73"/>
      <c r="AN43" s="211"/>
      <c r="AO43" s="195" t="s">
        <v>5</v>
      </c>
      <c r="AP43" s="288">
        <f>AP41+AP42</f>
        <v>0</v>
      </c>
      <c r="AQ43" s="289">
        <f t="shared" ref="AQ43:BL43" si="37">AQ41+AQ42</f>
        <v>0</v>
      </c>
      <c r="AR43" s="290">
        <f t="shared" si="37"/>
        <v>0</v>
      </c>
      <c r="AS43" s="291">
        <f t="shared" si="37"/>
        <v>0</v>
      </c>
      <c r="AT43" s="288">
        <f t="shared" si="37"/>
        <v>0</v>
      </c>
      <c r="AU43" s="292">
        <f t="shared" si="37"/>
        <v>0</v>
      </c>
      <c r="AV43" s="290">
        <f t="shared" si="37"/>
        <v>0</v>
      </c>
      <c r="AW43" s="291">
        <f t="shared" si="37"/>
        <v>0</v>
      </c>
      <c r="AX43" s="288">
        <f t="shared" si="37"/>
        <v>0</v>
      </c>
      <c r="AY43" s="292">
        <f t="shared" si="37"/>
        <v>0</v>
      </c>
      <c r="AZ43" s="290">
        <f t="shared" si="37"/>
        <v>0</v>
      </c>
      <c r="BA43" s="293">
        <f t="shared" si="37"/>
        <v>0</v>
      </c>
      <c r="BB43" s="290">
        <f t="shared" si="37"/>
        <v>0</v>
      </c>
      <c r="BC43" s="292">
        <f t="shared" si="37"/>
        <v>0</v>
      </c>
      <c r="BD43" s="330">
        <f t="shared" si="37"/>
        <v>0</v>
      </c>
      <c r="BE43" s="309">
        <f t="shared" si="37"/>
        <v>0</v>
      </c>
      <c r="BF43" s="307">
        <f t="shared" si="37"/>
        <v>0</v>
      </c>
      <c r="BG43" s="308">
        <f t="shared" si="37"/>
        <v>0</v>
      </c>
      <c r="BH43" s="308">
        <f t="shared" si="37"/>
        <v>0</v>
      </c>
      <c r="BI43" s="330">
        <f t="shared" si="37"/>
        <v>0</v>
      </c>
      <c r="BJ43" s="289">
        <f t="shared" si="37"/>
        <v>0</v>
      </c>
      <c r="BK43" s="292">
        <f t="shared" si="37"/>
        <v>0</v>
      </c>
      <c r="BL43" s="293">
        <f t="shared" si="37"/>
        <v>0</v>
      </c>
      <c r="BM43" s="294">
        <f t="shared" si="6"/>
        <v>0</v>
      </c>
      <c r="BN43" s="73"/>
      <c r="BO43" s="73"/>
      <c r="BP43" s="90"/>
      <c r="BQ43" s="283" t="s">
        <v>5</v>
      </c>
      <c r="BR43" s="104">
        <f t="shared" ref="BR43:BW43" si="38">SUM(BR41:BR42)</f>
        <v>0</v>
      </c>
      <c r="BS43" s="104">
        <f t="shared" si="38"/>
        <v>0</v>
      </c>
      <c r="BT43" s="104">
        <f t="shared" si="38"/>
        <v>1</v>
      </c>
      <c r="BU43" s="104">
        <f t="shared" si="38"/>
        <v>0</v>
      </c>
      <c r="BV43" s="104">
        <f t="shared" si="38"/>
        <v>0</v>
      </c>
      <c r="BW43" s="104">
        <f t="shared" si="38"/>
        <v>7</v>
      </c>
      <c r="BX43" s="92">
        <f t="shared" si="7"/>
        <v>8</v>
      </c>
      <c r="BY43" s="73"/>
      <c r="BZ43" s="247"/>
      <c r="CA43" s="90"/>
      <c r="CB43" s="283" t="s">
        <v>5</v>
      </c>
      <c r="CC43" s="312"/>
      <c r="CD43" s="313"/>
      <c r="CE43" s="312"/>
      <c r="CF43" s="313"/>
      <c r="CG43" s="312"/>
      <c r="CH43" s="314"/>
      <c r="CI43" s="268">
        <f t="shared" si="1"/>
        <v>0</v>
      </c>
      <c r="CJ43" s="73"/>
      <c r="CK43" s="247"/>
    </row>
    <row r="44" spans="2:89" ht="17" thickBot="1" x14ac:dyDescent="0.25">
      <c r="B44" s="194"/>
      <c r="C44" s="195" t="s">
        <v>3</v>
      </c>
      <c r="D44" s="205">
        <f>D8+D11+D14+D17+D20+D23+D26+D29+D32+D35+D38+D41</f>
        <v>0</v>
      </c>
      <c r="E44" s="219">
        <f t="shared" ref="E44:AA46" si="39">E8+E11+E14+E17+E20+E23+E26+E29+E32+E35+E38+E41</f>
        <v>0</v>
      </c>
      <c r="F44" s="219">
        <f t="shared" si="39"/>
        <v>0</v>
      </c>
      <c r="G44" s="219">
        <f t="shared" si="39"/>
        <v>0</v>
      </c>
      <c r="H44" s="205">
        <f t="shared" si="39"/>
        <v>0</v>
      </c>
      <c r="I44" s="219">
        <f t="shared" si="39"/>
        <v>0</v>
      </c>
      <c r="J44" s="219">
        <f t="shared" si="39"/>
        <v>0</v>
      </c>
      <c r="K44" s="219">
        <f t="shared" si="39"/>
        <v>0</v>
      </c>
      <c r="L44" s="219">
        <f t="shared" si="39"/>
        <v>4</v>
      </c>
      <c r="M44" s="219">
        <f t="shared" si="39"/>
        <v>0</v>
      </c>
      <c r="N44" s="219">
        <f t="shared" si="39"/>
        <v>0</v>
      </c>
      <c r="O44" s="219">
        <f t="shared" si="39"/>
        <v>0</v>
      </c>
      <c r="P44" s="219">
        <f t="shared" si="39"/>
        <v>0</v>
      </c>
      <c r="Q44" s="219">
        <f t="shared" si="39"/>
        <v>18</v>
      </c>
      <c r="R44" s="197">
        <f t="shared" si="39"/>
        <v>0</v>
      </c>
      <c r="S44" s="196">
        <f t="shared" si="39"/>
        <v>0</v>
      </c>
      <c r="T44" s="197">
        <f t="shared" si="39"/>
        <v>0</v>
      </c>
      <c r="U44" s="197">
        <f t="shared" si="39"/>
        <v>0</v>
      </c>
      <c r="V44" s="228">
        <f t="shared" si="39"/>
        <v>11</v>
      </c>
      <c r="W44" s="229">
        <f t="shared" si="39"/>
        <v>1</v>
      </c>
      <c r="X44" s="230">
        <f t="shared" si="39"/>
        <v>0</v>
      </c>
      <c r="Y44" s="219">
        <f t="shared" si="39"/>
        <v>0</v>
      </c>
      <c r="Z44" s="219">
        <f t="shared" si="39"/>
        <v>3</v>
      </c>
      <c r="AA44" s="229">
        <f t="shared" si="39"/>
        <v>37</v>
      </c>
      <c r="AD44" s="74"/>
      <c r="AE44" s="327" t="s">
        <v>3</v>
      </c>
      <c r="AF44" s="328">
        <f t="shared" ref="AF44:AK46" si="40">SUM(AF8,AF11,AF14,AF17,AF20,AF32,AF35,AF38)</f>
        <v>0</v>
      </c>
      <c r="AG44" s="329">
        <f t="shared" si="40"/>
        <v>2</v>
      </c>
      <c r="AH44" s="329">
        <f t="shared" si="40"/>
        <v>15</v>
      </c>
      <c r="AI44" s="329">
        <f t="shared" si="40"/>
        <v>14</v>
      </c>
      <c r="AJ44" s="329">
        <f t="shared" si="40"/>
        <v>0</v>
      </c>
      <c r="AK44" s="329">
        <f>SUM(AK8,AK11,AK14,AK17,AK20,AK32,AK35,AK38,AK25)</f>
        <v>38</v>
      </c>
      <c r="AL44" s="73"/>
      <c r="AM44" s="73"/>
      <c r="AN44" s="194"/>
      <c r="AO44" s="195" t="s">
        <v>3</v>
      </c>
      <c r="AP44" s="277">
        <f>AP8+AP11+AP14+AP17+AP20+AP23+AP26+AP29+AP32+AP35+AP38+AP41</f>
        <v>0</v>
      </c>
      <c r="AQ44" s="299">
        <f t="shared" ref="AQ44:BM44" si="41">AQ8+AQ11+AQ14+AQ17+AQ20+AQ23+AQ26+AQ29+AQ32+AQ35+AQ38+AQ41</f>
        <v>0</v>
      </c>
      <c r="AR44" s="299">
        <f t="shared" si="41"/>
        <v>0</v>
      </c>
      <c r="AS44" s="299">
        <f t="shared" si="41"/>
        <v>0</v>
      </c>
      <c r="AT44" s="277">
        <f t="shared" si="41"/>
        <v>0</v>
      </c>
      <c r="AU44" s="299">
        <f t="shared" si="41"/>
        <v>0</v>
      </c>
      <c r="AV44" s="299">
        <f t="shared" si="41"/>
        <v>0</v>
      </c>
      <c r="AW44" s="299">
        <f t="shared" si="41"/>
        <v>0</v>
      </c>
      <c r="AX44" s="299">
        <f t="shared" si="41"/>
        <v>0</v>
      </c>
      <c r="AY44" s="299">
        <f t="shared" si="41"/>
        <v>0</v>
      </c>
      <c r="AZ44" s="299">
        <f t="shared" si="41"/>
        <v>0</v>
      </c>
      <c r="BA44" s="299">
        <f t="shared" si="41"/>
        <v>0</v>
      </c>
      <c r="BB44" s="299">
        <f t="shared" si="41"/>
        <v>0</v>
      </c>
      <c r="BC44" s="299">
        <f t="shared" si="41"/>
        <v>0</v>
      </c>
      <c r="BD44" s="261">
        <f t="shared" si="41"/>
        <v>0</v>
      </c>
      <c r="BE44" s="260">
        <f t="shared" si="41"/>
        <v>0</v>
      </c>
      <c r="BF44" s="261">
        <f t="shared" si="41"/>
        <v>0</v>
      </c>
      <c r="BG44" s="261">
        <f t="shared" si="41"/>
        <v>0</v>
      </c>
      <c r="BH44" s="333">
        <f t="shared" si="41"/>
        <v>0</v>
      </c>
      <c r="BI44" s="334">
        <f t="shared" si="41"/>
        <v>0</v>
      </c>
      <c r="BJ44" s="335">
        <f t="shared" si="41"/>
        <v>0</v>
      </c>
      <c r="BK44" s="299">
        <f t="shared" si="41"/>
        <v>0</v>
      </c>
      <c r="BL44" s="299">
        <f t="shared" si="41"/>
        <v>0</v>
      </c>
      <c r="BM44" s="334">
        <f t="shared" si="41"/>
        <v>0</v>
      </c>
      <c r="BN44" s="73"/>
      <c r="BO44" s="73"/>
      <c r="BP44" s="405" t="s">
        <v>2</v>
      </c>
      <c r="BQ44" s="336" t="s">
        <v>3</v>
      </c>
      <c r="BR44" s="113">
        <f t="shared" ref="BR44:BX46" si="42">SUM(BR8,BR11,BR14,BR17,BR20,BR23,BR26,BR29,BR32,BR41)</f>
        <v>6</v>
      </c>
      <c r="BS44" s="110">
        <f t="shared" si="42"/>
        <v>0</v>
      </c>
      <c r="BT44" s="113">
        <f t="shared" si="42"/>
        <v>5</v>
      </c>
      <c r="BU44" s="110">
        <f t="shared" si="42"/>
        <v>0</v>
      </c>
      <c r="BV44" s="113">
        <f t="shared" si="42"/>
        <v>2</v>
      </c>
      <c r="BW44" s="110">
        <f t="shared" si="42"/>
        <v>18</v>
      </c>
      <c r="BX44" s="110">
        <f t="shared" si="42"/>
        <v>31</v>
      </c>
      <c r="BY44" s="73"/>
      <c r="BZ44" s="247"/>
      <c r="CA44" s="405" t="s">
        <v>2</v>
      </c>
      <c r="CB44" s="336" t="s">
        <v>3</v>
      </c>
      <c r="CC44" s="337">
        <f t="shared" ref="CC44:CI46" si="43">SUM(CC8,CC11,CC14,CC17,CC20,CC23,CC26,CC29,CC32,CC41)</f>
        <v>0</v>
      </c>
      <c r="CD44" s="321">
        <f t="shared" si="43"/>
        <v>0</v>
      </c>
      <c r="CE44" s="337">
        <f t="shared" si="43"/>
        <v>0</v>
      </c>
      <c r="CF44" s="321">
        <f t="shared" si="43"/>
        <v>0</v>
      </c>
      <c r="CG44" s="337">
        <f t="shared" si="43"/>
        <v>0</v>
      </c>
      <c r="CH44" s="321">
        <f t="shared" si="43"/>
        <v>0</v>
      </c>
      <c r="CI44" s="321">
        <f t="shared" si="43"/>
        <v>0</v>
      </c>
      <c r="CJ44" s="73"/>
      <c r="CK44" s="247"/>
    </row>
    <row r="45" spans="2:89" ht="17" thickBot="1" x14ac:dyDescent="0.25">
      <c r="B45" s="87" t="s">
        <v>2</v>
      </c>
      <c r="C45" s="195" t="s">
        <v>4</v>
      </c>
      <c r="D45" s="205">
        <f t="shared" ref="D45:S46" si="44">D9+D12+D15+D18+D21+D24+D27+D30+D33+D36+D39+D42</f>
        <v>0</v>
      </c>
      <c r="E45" s="205">
        <f t="shared" si="44"/>
        <v>0</v>
      </c>
      <c r="F45" s="205">
        <f t="shared" si="44"/>
        <v>0</v>
      </c>
      <c r="G45" s="205">
        <f t="shared" si="44"/>
        <v>0</v>
      </c>
      <c r="H45" s="205">
        <f t="shared" si="44"/>
        <v>0</v>
      </c>
      <c r="I45" s="205">
        <f t="shared" si="44"/>
        <v>0</v>
      </c>
      <c r="J45" s="205">
        <f t="shared" si="44"/>
        <v>0</v>
      </c>
      <c r="K45" s="205">
        <f t="shared" si="44"/>
        <v>0</v>
      </c>
      <c r="L45" s="205">
        <f t="shared" si="44"/>
        <v>0</v>
      </c>
      <c r="M45" s="205">
        <f t="shared" si="44"/>
        <v>0</v>
      </c>
      <c r="N45" s="205">
        <f t="shared" si="44"/>
        <v>0</v>
      </c>
      <c r="O45" s="205">
        <f t="shared" si="44"/>
        <v>0</v>
      </c>
      <c r="P45" s="205">
        <f t="shared" si="44"/>
        <v>0</v>
      </c>
      <c r="Q45" s="205">
        <f t="shared" si="44"/>
        <v>8</v>
      </c>
      <c r="R45" s="205">
        <f t="shared" si="44"/>
        <v>0</v>
      </c>
      <c r="S45" s="204">
        <f t="shared" si="44"/>
        <v>0</v>
      </c>
      <c r="T45" s="205">
        <f t="shared" si="39"/>
        <v>0</v>
      </c>
      <c r="U45" s="205">
        <f t="shared" si="39"/>
        <v>0</v>
      </c>
      <c r="V45" s="231">
        <f t="shared" si="39"/>
        <v>1</v>
      </c>
      <c r="W45" s="232">
        <f t="shared" si="39"/>
        <v>0</v>
      </c>
      <c r="X45" s="232">
        <f t="shared" si="39"/>
        <v>0</v>
      </c>
      <c r="Y45" s="205">
        <f t="shared" si="39"/>
        <v>0</v>
      </c>
      <c r="Z45" s="205">
        <f t="shared" si="39"/>
        <v>0</v>
      </c>
      <c r="AA45" s="232">
        <f t="shared" si="39"/>
        <v>9</v>
      </c>
      <c r="AD45" s="86" t="s">
        <v>2</v>
      </c>
      <c r="AE45" s="331" t="s">
        <v>4</v>
      </c>
      <c r="AF45" s="332">
        <f t="shared" si="40"/>
        <v>0</v>
      </c>
      <c r="AG45" s="148">
        <f t="shared" si="40"/>
        <v>2</v>
      </c>
      <c r="AH45" s="148">
        <f t="shared" si="40"/>
        <v>5</v>
      </c>
      <c r="AI45" s="148">
        <f t="shared" si="40"/>
        <v>1</v>
      </c>
      <c r="AJ45" s="148">
        <f t="shared" si="40"/>
        <v>0</v>
      </c>
      <c r="AK45" s="148">
        <f t="shared" si="40"/>
        <v>8</v>
      </c>
      <c r="AL45" s="73"/>
      <c r="AM45" s="73"/>
      <c r="AN45" s="87" t="s">
        <v>2</v>
      </c>
      <c r="AO45" s="195" t="s">
        <v>4</v>
      </c>
      <c r="AP45" s="277">
        <f t="shared" ref="AP45:BM46" si="45">AP9+AP12+AP15+AP18+AP21+AP24+AP27+AP30+AP33+AP36+AP39+AP42</f>
        <v>0</v>
      </c>
      <c r="AQ45" s="277">
        <f t="shared" si="45"/>
        <v>0</v>
      </c>
      <c r="AR45" s="277">
        <f t="shared" si="45"/>
        <v>0</v>
      </c>
      <c r="AS45" s="277">
        <f t="shared" si="45"/>
        <v>0</v>
      </c>
      <c r="AT45" s="277">
        <f t="shared" si="45"/>
        <v>0</v>
      </c>
      <c r="AU45" s="277">
        <f t="shared" si="45"/>
        <v>0</v>
      </c>
      <c r="AV45" s="277">
        <f t="shared" si="45"/>
        <v>0</v>
      </c>
      <c r="AW45" s="277">
        <f t="shared" si="45"/>
        <v>0</v>
      </c>
      <c r="AX45" s="277">
        <f t="shared" si="45"/>
        <v>0</v>
      </c>
      <c r="AY45" s="277">
        <f t="shared" si="45"/>
        <v>0</v>
      </c>
      <c r="AZ45" s="277">
        <f t="shared" si="45"/>
        <v>0</v>
      </c>
      <c r="BA45" s="277">
        <f t="shared" si="45"/>
        <v>0</v>
      </c>
      <c r="BB45" s="277">
        <f t="shared" si="45"/>
        <v>0</v>
      </c>
      <c r="BC45" s="277">
        <f t="shared" si="45"/>
        <v>0</v>
      </c>
      <c r="BD45" s="277">
        <f t="shared" si="45"/>
        <v>0</v>
      </c>
      <c r="BE45" s="276">
        <f t="shared" si="45"/>
        <v>0</v>
      </c>
      <c r="BF45" s="277">
        <f t="shared" si="45"/>
        <v>0</v>
      </c>
      <c r="BG45" s="277">
        <f t="shared" si="45"/>
        <v>0</v>
      </c>
      <c r="BH45" s="339">
        <f t="shared" si="45"/>
        <v>0</v>
      </c>
      <c r="BI45" s="340">
        <f t="shared" si="45"/>
        <v>0</v>
      </c>
      <c r="BJ45" s="340">
        <f t="shared" si="45"/>
        <v>0</v>
      </c>
      <c r="BK45" s="277">
        <f t="shared" si="45"/>
        <v>0</v>
      </c>
      <c r="BL45" s="277">
        <f t="shared" si="45"/>
        <v>0</v>
      </c>
      <c r="BM45" s="340">
        <f t="shared" si="45"/>
        <v>0</v>
      </c>
      <c r="BN45" s="73"/>
      <c r="BO45" s="73"/>
      <c r="BP45" s="406"/>
      <c r="BQ45" s="341" t="s">
        <v>4</v>
      </c>
      <c r="BR45" s="113">
        <f t="shared" si="42"/>
        <v>3</v>
      </c>
      <c r="BS45" s="110">
        <f t="shared" si="42"/>
        <v>0</v>
      </c>
      <c r="BT45" s="113">
        <f t="shared" si="42"/>
        <v>1</v>
      </c>
      <c r="BU45" s="110">
        <f t="shared" si="42"/>
        <v>0</v>
      </c>
      <c r="BV45" s="113">
        <f t="shared" si="42"/>
        <v>0</v>
      </c>
      <c r="BW45" s="110">
        <f t="shared" si="42"/>
        <v>8</v>
      </c>
      <c r="BX45" s="110">
        <f t="shared" si="42"/>
        <v>12</v>
      </c>
      <c r="BY45" s="73"/>
      <c r="BZ45" s="247"/>
      <c r="CA45" s="406"/>
      <c r="CB45" s="341" t="s">
        <v>4</v>
      </c>
      <c r="CC45" s="337">
        <f t="shared" si="43"/>
        <v>0</v>
      </c>
      <c r="CD45" s="321">
        <f t="shared" si="43"/>
        <v>0</v>
      </c>
      <c r="CE45" s="337">
        <f t="shared" si="43"/>
        <v>0</v>
      </c>
      <c r="CF45" s="321">
        <f t="shared" si="43"/>
        <v>0</v>
      </c>
      <c r="CG45" s="337">
        <f t="shared" si="43"/>
        <v>0</v>
      </c>
      <c r="CH45" s="321">
        <f t="shared" si="43"/>
        <v>0</v>
      </c>
      <c r="CI45" s="321">
        <f t="shared" si="43"/>
        <v>0</v>
      </c>
      <c r="CJ45" s="73"/>
      <c r="CK45" s="247"/>
    </row>
    <row r="46" spans="2:89" ht="16" thickBot="1" x14ac:dyDescent="0.25">
      <c r="B46" s="211"/>
      <c r="C46" s="195" t="s">
        <v>5</v>
      </c>
      <c r="D46" s="213">
        <f t="shared" si="44"/>
        <v>0</v>
      </c>
      <c r="E46" s="213">
        <f t="shared" si="44"/>
        <v>0</v>
      </c>
      <c r="F46" s="213">
        <f t="shared" si="44"/>
        <v>0</v>
      </c>
      <c r="G46" s="213">
        <f t="shared" si="44"/>
        <v>0</v>
      </c>
      <c r="H46" s="213">
        <f t="shared" si="44"/>
        <v>0</v>
      </c>
      <c r="I46" s="213">
        <f t="shared" si="44"/>
        <v>0</v>
      </c>
      <c r="J46" s="213">
        <f t="shared" si="44"/>
        <v>0</v>
      </c>
      <c r="K46" s="213">
        <f t="shared" si="44"/>
        <v>0</v>
      </c>
      <c r="L46" s="213">
        <f t="shared" si="44"/>
        <v>4</v>
      </c>
      <c r="M46" s="213">
        <f t="shared" si="44"/>
        <v>0</v>
      </c>
      <c r="N46" s="213">
        <f t="shared" si="44"/>
        <v>0</v>
      </c>
      <c r="O46" s="213">
        <f t="shared" si="44"/>
        <v>0</v>
      </c>
      <c r="P46" s="213">
        <f t="shared" si="44"/>
        <v>0</v>
      </c>
      <c r="Q46" s="213">
        <f t="shared" si="44"/>
        <v>26</v>
      </c>
      <c r="R46" s="213">
        <f t="shared" si="44"/>
        <v>0</v>
      </c>
      <c r="S46" s="212">
        <f t="shared" si="44"/>
        <v>0</v>
      </c>
      <c r="T46" s="213">
        <f t="shared" si="39"/>
        <v>0</v>
      </c>
      <c r="U46" s="213">
        <f t="shared" si="39"/>
        <v>0</v>
      </c>
      <c r="V46" s="233">
        <f t="shared" si="39"/>
        <v>12</v>
      </c>
      <c r="W46" s="234">
        <f t="shared" si="39"/>
        <v>1</v>
      </c>
      <c r="X46" s="234">
        <f t="shared" si="39"/>
        <v>0</v>
      </c>
      <c r="Y46" s="213">
        <f t="shared" si="39"/>
        <v>0</v>
      </c>
      <c r="Z46" s="213">
        <f t="shared" si="39"/>
        <v>3</v>
      </c>
      <c r="AA46" s="234">
        <f t="shared" si="39"/>
        <v>46</v>
      </c>
      <c r="AD46" s="77"/>
      <c r="AE46" s="338" t="s">
        <v>5</v>
      </c>
      <c r="AF46" s="171">
        <f t="shared" si="40"/>
        <v>0</v>
      </c>
      <c r="AG46" s="149">
        <f t="shared" si="40"/>
        <v>4</v>
      </c>
      <c r="AH46" s="149">
        <f t="shared" si="40"/>
        <v>20</v>
      </c>
      <c r="AI46" s="149">
        <f t="shared" si="40"/>
        <v>15</v>
      </c>
      <c r="AJ46" s="149">
        <f t="shared" si="40"/>
        <v>0</v>
      </c>
      <c r="AK46" s="149">
        <f>SUM(AK10,AK13,AK16,AK19,AK22,AK34,AK37,AK40,AK25)</f>
        <v>46</v>
      </c>
      <c r="AL46" s="73"/>
      <c r="AM46" s="73"/>
      <c r="AN46" s="211"/>
      <c r="AO46" s="195" t="s">
        <v>5</v>
      </c>
      <c r="AP46" s="289">
        <f t="shared" si="45"/>
        <v>0</v>
      </c>
      <c r="AQ46" s="289">
        <f t="shared" si="45"/>
        <v>0</v>
      </c>
      <c r="AR46" s="289">
        <f t="shared" si="45"/>
        <v>0</v>
      </c>
      <c r="AS46" s="289">
        <f t="shared" si="45"/>
        <v>0</v>
      </c>
      <c r="AT46" s="289">
        <f t="shared" si="45"/>
        <v>0</v>
      </c>
      <c r="AU46" s="289">
        <f t="shared" si="45"/>
        <v>0</v>
      </c>
      <c r="AV46" s="289">
        <f t="shared" si="45"/>
        <v>0</v>
      </c>
      <c r="AW46" s="289">
        <f t="shared" si="45"/>
        <v>0</v>
      </c>
      <c r="AX46" s="289">
        <f t="shared" si="45"/>
        <v>0</v>
      </c>
      <c r="AY46" s="289">
        <f t="shared" si="45"/>
        <v>0</v>
      </c>
      <c r="AZ46" s="289">
        <f t="shared" si="45"/>
        <v>0</v>
      </c>
      <c r="BA46" s="289">
        <f t="shared" si="45"/>
        <v>0</v>
      </c>
      <c r="BB46" s="289">
        <f t="shared" si="45"/>
        <v>0</v>
      </c>
      <c r="BC46" s="289">
        <f t="shared" si="45"/>
        <v>0</v>
      </c>
      <c r="BD46" s="289">
        <f t="shared" si="45"/>
        <v>0</v>
      </c>
      <c r="BE46" s="288">
        <f t="shared" si="45"/>
        <v>0</v>
      </c>
      <c r="BF46" s="289">
        <f t="shared" si="45"/>
        <v>0</v>
      </c>
      <c r="BG46" s="289">
        <f t="shared" si="45"/>
        <v>0</v>
      </c>
      <c r="BH46" s="342">
        <f t="shared" si="45"/>
        <v>0</v>
      </c>
      <c r="BI46" s="343">
        <f t="shared" si="45"/>
        <v>0</v>
      </c>
      <c r="BJ46" s="343">
        <f t="shared" si="45"/>
        <v>0</v>
      </c>
      <c r="BK46" s="289">
        <f t="shared" si="45"/>
        <v>0</v>
      </c>
      <c r="BL46" s="289">
        <f t="shared" si="45"/>
        <v>0</v>
      </c>
      <c r="BM46" s="343">
        <f t="shared" si="45"/>
        <v>0</v>
      </c>
      <c r="BN46" s="73"/>
      <c r="BO46" s="73"/>
      <c r="BP46" s="407"/>
      <c r="BQ46" s="344" t="s">
        <v>5</v>
      </c>
      <c r="BR46" s="113">
        <f t="shared" si="42"/>
        <v>9</v>
      </c>
      <c r="BS46" s="110">
        <f t="shared" si="42"/>
        <v>0</v>
      </c>
      <c r="BT46" s="113">
        <f t="shared" si="42"/>
        <v>6</v>
      </c>
      <c r="BU46" s="110">
        <f t="shared" si="42"/>
        <v>0</v>
      </c>
      <c r="BV46" s="113">
        <f t="shared" si="42"/>
        <v>2</v>
      </c>
      <c r="BW46" s="110">
        <f t="shared" si="42"/>
        <v>26</v>
      </c>
      <c r="BX46" s="110">
        <f>SUM(BX10,BX13,BX16,BX19,BX22,BX25,BX28,BX31,BX34,BX37,BX40,BX43)</f>
        <v>49</v>
      </c>
      <c r="BY46" s="247"/>
      <c r="BZ46" s="247"/>
      <c r="CA46" s="407"/>
      <c r="CB46" s="344" t="s">
        <v>5</v>
      </c>
      <c r="CC46" s="337">
        <f t="shared" si="43"/>
        <v>0</v>
      </c>
      <c r="CD46" s="321">
        <f t="shared" si="43"/>
        <v>0</v>
      </c>
      <c r="CE46" s="337">
        <f t="shared" si="43"/>
        <v>0</v>
      </c>
      <c r="CF46" s="321">
        <f t="shared" si="43"/>
        <v>0</v>
      </c>
      <c r="CG46" s="337">
        <f t="shared" si="43"/>
        <v>0</v>
      </c>
      <c r="CH46" s="321">
        <f t="shared" si="43"/>
        <v>0</v>
      </c>
      <c r="CI46" s="321">
        <f t="shared" si="43"/>
        <v>0</v>
      </c>
      <c r="CJ46" s="73"/>
      <c r="CK46" s="247"/>
    </row>
    <row r="47" spans="2:89" ht="16" x14ac:dyDescent="0.2">
      <c r="AD47" s="187" t="s">
        <v>75</v>
      </c>
      <c r="AE47" s="247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236"/>
      <c r="AQ47" s="236"/>
      <c r="AR47" s="236"/>
      <c r="AS47" s="236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6"/>
      <c r="BH47" s="236"/>
      <c r="BI47" s="236"/>
      <c r="BJ47" s="236"/>
      <c r="BK47" s="236"/>
      <c r="BL47" s="236"/>
      <c r="BM47" s="236"/>
      <c r="BN47" s="73"/>
      <c r="BO47" s="73"/>
      <c r="BP47" s="345" t="s">
        <v>75</v>
      </c>
      <c r="BQ47" s="247"/>
      <c r="BR47" s="73"/>
      <c r="BS47" s="73"/>
      <c r="BT47" s="247"/>
      <c r="BU47" s="73"/>
      <c r="BV47" s="73"/>
      <c r="BW47" s="247"/>
      <c r="BX47" s="73"/>
      <c r="BY47" s="73"/>
      <c r="BZ47" s="247"/>
      <c r="CA47" s="287"/>
      <c r="CB47" s="247"/>
      <c r="CC47" s="346"/>
      <c r="CD47" s="346"/>
      <c r="CE47" s="346"/>
      <c r="CF47" s="346"/>
      <c r="CG47" s="346"/>
      <c r="CH47" s="346"/>
      <c r="CI47" s="346"/>
      <c r="CJ47" s="73"/>
      <c r="CK47" s="247"/>
    </row>
    <row r="48" spans="2:89" ht="16" x14ac:dyDescent="0.2"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187" t="s">
        <v>76</v>
      </c>
      <c r="AO48" s="73"/>
      <c r="AP48" s="236"/>
      <c r="AQ48" s="236"/>
      <c r="AR48" s="236"/>
      <c r="AS48" s="236"/>
      <c r="AT48" s="236"/>
      <c r="AU48" s="236"/>
      <c r="AV48" s="236"/>
      <c r="AW48" s="236"/>
      <c r="AX48" s="236"/>
      <c r="AY48" s="236"/>
      <c r="AZ48" s="236"/>
      <c r="BA48" s="236"/>
      <c r="BB48" s="236"/>
      <c r="BC48" s="236"/>
      <c r="BD48" s="236"/>
      <c r="BE48" s="236"/>
      <c r="BF48" s="236"/>
      <c r="BG48" s="236"/>
      <c r="BH48" s="236"/>
      <c r="BI48" s="236"/>
      <c r="BJ48" s="236"/>
      <c r="BK48" s="236"/>
      <c r="BL48" s="236"/>
      <c r="BM48" s="236"/>
      <c r="BN48" s="73"/>
      <c r="BO48" s="73"/>
      <c r="BP48" s="345" t="s">
        <v>15</v>
      </c>
      <c r="BQ48" s="247"/>
      <c r="BR48" s="73"/>
      <c r="BS48" s="73"/>
      <c r="BT48" s="247"/>
      <c r="BU48" s="73"/>
      <c r="BV48" s="73"/>
      <c r="BW48" s="247"/>
      <c r="BX48" s="73"/>
      <c r="BY48" s="73"/>
      <c r="BZ48" s="247"/>
      <c r="CA48" s="345" t="s">
        <v>15</v>
      </c>
      <c r="CB48" s="247"/>
      <c r="CC48" s="346"/>
      <c r="CD48" s="346"/>
      <c r="CE48" s="346"/>
      <c r="CF48" s="346"/>
      <c r="CG48" s="346"/>
      <c r="CH48" s="346"/>
      <c r="CI48" s="346"/>
      <c r="CJ48" s="73"/>
      <c r="CK48" s="247"/>
    </row>
    <row r="49" spans="30:89" ht="16" x14ac:dyDescent="0.2"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236"/>
      <c r="AQ49" s="236"/>
      <c r="AR49" s="236"/>
      <c r="AS49" s="236"/>
      <c r="AT49" s="236"/>
      <c r="AU49" s="236"/>
      <c r="AV49" s="236"/>
      <c r="AW49" s="236"/>
      <c r="AX49" s="236"/>
      <c r="AY49" s="236"/>
      <c r="AZ49" s="236"/>
      <c r="BA49" s="236"/>
      <c r="BB49" s="236"/>
      <c r="BC49" s="236"/>
      <c r="BD49" s="236"/>
      <c r="BE49" s="236"/>
      <c r="BF49" s="236"/>
      <c r="BG49" s="236"/>
      <c r="BH49" s="236"/>
      <c r="BI49" s="236"/>
      <c r="BJ49" s="236"/>
      <c r="BK49" s="236"/>
      <c r="BL49" s="236"/>
      <c r="BM49" s="236"/>
      <c r="BN49" s="73"/>
      <c r="BO49" s="73"/>
      <c r="BP49" s="345"/>
      <c r="BQ49" s="247"/>
      <c r="BR49" s="73"/>
      <c r="BS49" s="73"/>
      <c r="BT49" s="247"/>
      <c r="BU49" s="73"/>
      <c r="BV49" s="73"/>
      <c r="BW49" s="247"/>
      <c r="BX49" s="73"/>
      <c r="BY49" s="73"/>
      <c r="BZ49" s="247"/>
      <c r="CA49" s="345"/>
      <c r="CB49" s="247"/>
      <c r="CC49" s="346"/>
      <c r="CD49" s="346"/>
      <c r="CE49" s="346"/>
      <c r="CF49" s="346"/>
      <c r="CG49" s="346"/>
      <c r="CH49" s="346"/>
      <c r="CI49" s="346"/>
      <c r="CJ49" s="73"/>
      <c r="CK49" s="247"/>
    </row>
    <row r="50" spans="30:89" ht="16" x14ac:dyDescent="0.2"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236"/>
      <c r="AQ50" s="236"/>
      <c r="AR50" s="236"/>
      <c r="AS50" s="236"/>
      <c r="AT50" s="236"/>
      <c r="AU50" s="236"/>
      <c r="AV50" s="236"/>
      <c r="AW50" s="236"/>
      <c r="AX50" s="236"/>
      <c r="AY50" s="236"/>
      <c r="AZ50" s="236"/>
      <c r="BA50" s="236"/>
      <c r="BB50" s="236"/>
      <c r="BC50" s="236"/>
      <c r="BD50" s="236"/>
      <c r="BE50" s="236"/>
      <c r="BF50" s="236"/>
      <c r="BG50" s="236"/>
      <c r="BH50" s="236"/>
      <c r="BI50" s="236"/>
      <c r="BJ50" s="236"/>
      <c r="BK50" s="236"/>
      <c r="BL50" s="236"/>
      <c r="BM50" s="236"/>
      <c r="BN50" s="73"/>
      <c r="BO50" s="73"/>
      <c r="BP50" s="345" t="s">
        <v>77</v>
      </c>
      <c r="BQ50" s="247"/>
      <c r="BR50" s="73"/>
      <c r="BS50" s="73"/>
      <c r="BT50" s="247"/>
      <c r="BU50" s="73"/>
      <c r="BV50" s="73"/>
      <c r="BW50" s="247"/>
      <c r="BX50" s="73"/>
      <c r="BY50" s="73"/>
      <c r="BZ50" s="247"/>
      <c r="CA50" s="345" t="s">
        <v>77</v>
      </c>
      <c r="CB50" s="247"/>
      <c r="CC50" s="346"/>
      <c r="CD50" s="346"/>
      <c r="CE50" s="346"/>
      <c r="CF50" s="346"/>
      <c r="CG50" s="346"/>
      <c r="CH50" s="346"/>
      <c r="CI50" s="346"/>
      <c r="CJ50" s="73"/>
      <c r="CK50" s="247"/>
    </row>
    <row r="51" spans="30:89" ht="16" x14ac:dyDescent="0.2"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236"/>
      <c r="AQ51" s="236"/>
      <c r="AR51" s="236"/>
      <c r="AS51" s="236"/>
      <c r="AT51" s="236"/>
      <c r="AU51" s="236"/>
      <c r="AV51" s="236"/>
      <c r="AW51" s="236"/>
      <c r="AX51" s="236"/>
      <c r="AY51" s="236"/>
      <c r="AZ51" s="236"/>
      <c r="BA51" s="236"/>
      <c r="BB51" s="236"/>
      <c r="BC51" s="236"/>
      <c r="BD51" s="236"/>
      <c r="BE51" s="236"/>
      <c r="BF51" s="236"/>
      <c r="BG51" s="236"/>
      <c r="BH51" s="236"/>
      <c r="BI51" s="236"/>
      <c r="BJ51" s="236"/>
      <c r="BK51" s="236"/>
      <c r="BL51" s="236"/>
      <c r="BM51" s="236"/>
      <c r="BN51" s="73"/>
      <c r="BO51" s="73"/>
      <c r="BP51" s="348" t="s">
        <v>78</v>
      </c>
      <c r="BQ51" s="247"/>
      <c r="BR51" s="73"/>
      <c r="BS51" s="73"/>
      <c r="BT51" s="247"/>
      <c r="BU51" s="73"/>
      <c r="BV51" s="73"/>
      <c r="BW51" s="247"/>
      <c r="BX51" s="73"/>
      <c r="BY51" s="73"/>
      <c r="BZ51" s="247"/>
      <c r="CA51" s="348" t="s">
        <v>78</v>
      </c>
      <c r="CB51" s="247"/>
      <c r="CC51" s="346"/>
      <c r="CD51" s="346"/>
      <c r="CE51" s="346"/>
      <c r="CF51" s="346"/>
      <c r="CG51" s="346"/>
      <c r="CH51" s="346"/>
      <c r="CI51" s="346"/>
      <c r="CJ51" s="73"/>
      <c r="CK51" s="247"/>
    </row>
    <row r="52" spans="30:89" ht="16" x14ac:dyDescent="0.2"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236"/>
      <c r="AQ52" s="236"/>
      <c r="AR52" s="236"/>
      <c r="AS52" s="236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6"/>
      <c r="BH52" s="236"/>
      <c r="BI52" s="236"/>
      <c r="BJ52" s="236"/>
      <c r="BK52" s="236"/>
      <c r="BL52" s="236"/>
      <c r="BM52" s="236"/>
      <c r="BN52" s="73"/>
      <c r="BO52" s="73"/>
      <c r="BP52" s="348" t="s">
        <v>16</v>
      </c>
      <c r="BQ52" s="247"/>
      <c r="BR52" s="73"/>
      <c r="BS52" s="73"/>
      <c r="BT52" s="247"/>
      <c r="BU52" s="73"/>
      <c r="BV52" s="73"/>
      <c r="BW52" s="247"/>
      <c r="BX52" s="73"/>
      <c r="BY52" s="73"/>
      <c r="BZ52" s="247"/>
      <c r="CA52" s="348" t="s">
        <v>16</v>
      </c>
      <c r="CB52" s="247"/>
      <c r="CC52" s="346"/>
      <c r="CD52" s="346"/>
      <c r="CE52" s="346"/>
      <c r="CF52" s="346"/>
      <c r="CG52" s="346"/>
      <c r="CH52" s="346"/>
      <c r="CI52" s="346"/>
      <c r="CJ52" s="73"/>
      <c r="CK52" s="247"/>
    </row>
    <row r="53" spans="30:89" ht="16" x14ac:dyDescent="0.2"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236"/>
      <c r="AQ53" s="236"/>
      <c r="AR53" s="236"/>
      <c r="AS53" s="236"/>
      <c r="AT53" s="236"/>
      <c r="AU53" s="236"/>
      <c r="AV53" s="236"/>
      <c r="AW53" s="236"/>
      <c r="AX53" s="236"/>
      <c r="AY53" s="236"/>
      <c r="AZ53" s="236"/>
      <c r="BA53" s="236"/>
      <c r="BB53" s="236"/>
      <c r="BC53" s="236"/>
      <c r="BD53" s="236"/>
      <c r="BE53" s="236"/>
      <c r="BF53" s="236"/>
      <c r="BG53" s="236"/>
      <c r="BH53" s="236"/>
      <c r="BI53" s="236"/>
      <c r="BJ53" s="236"/>
      <c r="BK53" s="236"/>
      <c r="BL53" s="236"/>
      <c r="BM53" s="236"/>
      <c r="BN53" s="73"/>
      <c r="BO53" s="73"/>
      <c r="BP53" s="287"/>
      <c r="BQ53" s="247"/>
      <c r="BR53" s="73"/>
      <c r="BS53" s="73"/>
      <c r="BT53" s="247"/>
      <c r="BU53" s="73"/>
      <c r="BV53" s="73"/>
      <c r="BW53" s="247"/>
      <c r="BX53" s="73"/>
      <c r="BY53" s="73"/>
      <c r="BZ53" s="247"/>
      <c r="CA53" s="287"/>
      <c r="CB53" s="247"/>
      <c r="CC53" s="346"/>
      <c r="CD53" s="346"/>
      <c r="CE53" s="346"/>
      <c r="CF53" s="346"/>
      <c r="CG53" s="346"/>
      <c r="CH53" s="346"/>
      <c r="CI53" s="346"/>
      <c r="CJ53" s="73"/>
      <c r="CK53" s="247"/>
    </row>
    <row r="54" spans="30:89" ht="16" x14ac:dyDescent="0.2">
      <c r="AD54" s="73"/>
      <c r="AE54" s="73"/>
      <c r="AF54" s="73"/>
      <c r="AG54" s="73"/>
      <c r="AH54" s="73"/>
      <c r="AI54" s="73"/>
      <c r="AJ54" s="73"/>
      <c r="AK54" s="73"/>
      <c r="AL54" s="88"/>
      <c r="AM54" s="235"/>
      <c r="AN54" s="88"/>
      <c r="AO54" s="88"/>
      <c r="AP54" s="349"/>
      <c r="AQ54" s="350"/>
      <c r="AR54" s="350"/>
      <c r="AS54" s="350"/>
      <c r="AT54" s="350"/>
      <c r="AU54" s="350"/>
      <c r="AV54" s="236"/>
      <c r="AW54" s="236"/>
      <c r="AX54" s="236"/>
      <c r="AY54" s="236"/>
      <c r="AZ54" s="236"/>
      <c r="BA54" s="236"/>
      <c r="BB54" s="236"/>
      <c r="BC54" s="236"/>
      <c r="BD54" s="236"/>
      <c r="BE54" s="236"/>
      <c r="BF54" s="236"/>
      <c r="BG54" s="236"/>
      <c r="BH54" s="236"/>
      <c r="BI54" s="236"/>
      <c r="BJ54" s="236"/>
      <c r="BK54" s="236"/>
      <c r="BL54" s="236"/>
      <c r="BM54" s="236"/>
      <c r="BN54" s="73"/>
      <c r="BO54" s="73"/>
      <c r="BP54" s="345" t="s">
        <v>79</v>
      </c>
      <c r="BQ54" s="247"/>
      <c r="BR54" s="73"/>
      <c r="BS54" s="73"/>
      <c r="BT54" s="247"/>
      <c r="BU54" s="73"/>
      <c r="BV54" s="73"/>
      <c r="BW54" s="247"/>
      <c r="BX54" s="73"/>
      <c r="BY54" s="73"/>
      <c r="BZ54" s="247"/>
      <c r="CA54" s="345" t="s">
        <v>79</v>
      </c>
      <c r="CB54" s="247"/>
      <c r="CC54" s="346"/>
      <c r="CD54" s="346"/>
      <c r="CE54" s="346"/>
      <c r="CF54" s="346"/>
      <c r="CG54" s="346"/>
      <c r="CH54" s="346"/>
      <c r="CI54" s="346"/>
      <c r="CJ54" s="73"/>
      <c r="CK54" s="247"/>
    </row>
    <row r="55" spans="30:89" ht="16" x14ac:dyDescent="0.2">
      <c r="AD55" s="73"/>
      <c r="AE55" s="73"/>
      <c r="AF55" s="73"/>
      <c r="AG55" s="73"/>
      <c r="AH55" s="73"/>
      <c r="AI55" s="73"/>
      <c r="AJ55" s="73"/>
      <c r="AK55" s="73"/>
      <c r="AL55" s="247"/>
      <c r="AM55" s="247"/>
      <c r="AN55" s="247"/>
      <c r="AO55" s="247"/>
      <c r="AP55" s="347"/>
      <c r="AQ55" s="347"/>
      <c r="AR55" s="347"/>
      <c r="AS55" s="347"/>
      <c r="AT55" s="347"/>
      <c r="AU55" s="347"/>
      <c r="AV55" s="236"/>
      <c r="AW55" s="236"/>
      <c r="AX55" s="236"/>
      <c r="AY55" s="236"/>
      <c r="AZ55" s="236"/>
      <c r="BA55" s="236"/>
      <c r="BB55" s="236"/>
      <c r="BC55" s="236"/>
      <c r="BD55" s="236"/>
      <c r="BE55" s="236"/>
      <c r="BF55" s="236"/>
      <c r="BG55" s="236"/>
      <c r="BH55" s="236"/>
      <c r="BI55" s="236"/>
      <c r="BJ55" s="236"/>
      <c r="BK55" s="236"/>
      <c r="BL55" s="236"/>
      <c r="BM55" s="236"/>
      <c r="BN55" s="73"/>
      <c r="BO55" s="73"/>
      <c r="BP55" s="348" t="s">
        <v>17</v>
      </c>
      <c r="BQ55" s="247"/>
      <c r="BR55" s="73"/>
      <c r="BS55" s="73"/>
      <c r="BT55" s="247"/>
      <c r="BU55" s="73"/>
      <c r="BV55" s="73"/>
      <c r="BW55" s="247"/>
      <c r="BX55" s="73"/>
      <c r="BY55" s="73"/>
      <c r="BZ55" s="247"/>
      <c r="CA55" s="348" t="s">
        <v>17</v>
      </c>
      <c r="CB55" s="247"/>
      <c r="CC55" s="346"/>
      <c r="CD55" s="346"/>
      <c r="CE55" s="346"/>
      <c r="CF55" s="346"/>
      <c r="CG55" s="346"/>
      <c r="CH55" s="346"/>
      <c r="CI55" s="346"/>
      <c r="CJ55" s="73"/>
      <c r="CK55" s="247"/>
    </row>
    <row r="56" spans="30:89" ht="16" x14ac:dyDescent="0.2">
      <c r="AD56" s="73"/>
      <c r="AE56" s="73"/>
      <c r="AF56" s="73"/>
      <c r="AG56" s="73"/>
      <c r="AH56" s="73"/>
      <c r="AI56" s="73"/>
      <c r="AJ56" s="73"/>
      <c r="AK56" s="73"/>
      <c r="AL56" s="247"/>
      <c r="AM56" s="247"/>
      <c r="AN56" s="247"/>
      <c r="AO56" s="247"/>
      <c r="AP56" s="347"/>
      <c r="AQ56" s="347"/>
      <c r="AR56" s="347"/>
      <c r="AS56" s="347"/>
      <c r="AT56" s="347"/>
      <c r="AU56" s="347"/>
      <c r="AV56" s="236"/>
      <c r="AW56" s="236"/>
      <c r="AX56" s="236"/>
      <c r="AY56" s="236"/>
      <c r="AZ56" s="236"/>
      <c r="BA56" s="236"/>
      <c r="BB56" s="236"/>
      <c r="BC56" s="236"/>
      <c r="BD56" s="236"/>
      <c r="BE56" s="236"/>
      <c r="BF56" s="236"/>
      <c r="BG56" s="236"/>
      <c r="BH56" s="236"/>
      <c r="BI56" s="236"/>
      <c r="BJ56" s="236"/>
      <c r="BK56" s="236"/>
      <c r="BL56" s="236"/>
      <c r="BM56" s="236"/>
      <c r="BN56" s="73"/>
      <c r="BO56" s="73"/>
      <c r="BP56" s="348" t="s">
        <v>18</v>
      </c>
      <c r="BQ56" s="247"/>
      <c r="BR56" s="73"/>
      <c r="BS56" s="73"/>
      <c r="BT56" s="247"/>
      <c r="BU56" s="73"/>
      <c r="BV56" s="73"/>
      <c r="BW56" s="247"/>
      <c r="BX56" s="73"/>
      <c r="BY56" s="73"/>
      <c r="BZ56" s="247"/>
      <c r="CA56" s="348" t="s">
        <v>18</v>
      </c>
      <c r="CB56" s="247"/>
      <c r="CC56" s="346"/>
      <c r="CD56" s="346"/>
      <c r="CE56" s="346"/>
      <c r="CF56" s="346"/>
      <c r="CG56" s="346"/>
      <c r="CH56" s="346"/>
      <c r="CI56" s="346"/>
      <c r="CJ56" s="247"/>
      <c r="CK56" s="247"/>
    </row>
    <row r="57" spans="30:89" ht="16" x14ac:dyDescent="0.2">
      <c r="AD57" s="73"/>
      <c r="AE57" s="73"/>
      <c r="AF57" s="73"/>
      <c r="AG57" s="73"/>
      <c r="AH57" s="73"/>
      <c r="AI57" s="73"/>
      <c r="AJ57" s="73"/>
      <c r="AK57" s="73"/>
      <c r="AL57" s="247"/>
      <c r="AM57" s="247"/>
      <c r="AN57" s="247"/>
      <c r="AO57" s="247"/>
      <c r="AP57" s="347"/>
      <c r="AQ57" s="347"/>
      <c r="AR57" s="347"/>
      <c r="AS57" s="347"/>
      <c r="AT57" s="347"/>
      <c r="AU57" s="347"/>
      <c r="AV57" s="236"/>
      <c r="AW57" s="236"/>
      <c r="AX57" s="236"/>
      <c r="AY57" s="236"/>
      <c r="AZ57" s="236"/>
      <c r="BA57" s="236"/>
      <c r="BB57" s="236"/>
      <c r="BC57" s="236"/>
      <c r="BD57" s="236"/>
      <c r="BE57" s="236"/>
      <c r="BF57" s="236"/>
      <c r="BG57" s="236"/>
      <c r="BH57" s="236"/>
      <c r="BI57" s="236"/>
      <c r="BJ57" s="236"/>
      <c r="BK57" s="236"/>
      <c r="BL57" s="236"/>
      <c r="BM57" s="236"/>
      <c r="BN57" s="73"/>
      <c r="BO57" s="73"/>
      <c r="BP57" s="345"/>
      <c r="BQ57" s="73"/>
      <c r="BR57" s="73"/>
      <c r="BS57" s="73"/>
      <c r="BT57" s="73"/>
      <c r="BU57" s="73"/>
      <c r="BV57" s="73"/>
      <c r="BW57" s="73"/>
      <c r="BX57" s="73"/>
      <c r="BY57" s="73"/>
      <c r="BZ57" s="247"/>
      <c r="CA57" s="345"/>
      <c r="CB57" s="247"/>
      <c r="CC57" s="346"/>
      <c r="CD57" s="346"/>
      <c r="CE57" s="346"/>
      <c r="CF57" s="346"/>
      <c r="CG57" s="346"/>
      <c r="CH57" s="346"/>
      <c r="CI57" s="346"/>
      <c r="CJ57" s="247"/>
      <c r="CK57" s="247"/>
    </row>
    <row r="58" spans="30:89" ht="16" x14ac:dyDescent="0.2">
      <c r="AD58" s="73"/>
      <c r="AE58" s="73"/>
      <c r="AF58" s="73"/>
      <c r="AG58" s="73"/>
      <c r="AH58" s="73"/>
      <c r="AI58" s="73"/>
      <c r="AJ58" s="73"/>
      <c r="AK58" s="73"/>
      <c r="AL58" s="247"/>
      <c r="AM58" s="247"/>
      <c r="AN58" s="247"/>
      <c r="AO58" s="247"/>
      <c r="AP58" s="347"/>
      <c r="AQ58" s="347"/>
      <c r="AR58" s="347"/>
      <c r="AS58" s="347"/>
      <c r="AT58" s="347"/>
      <c r="AU58" s="347"/>
      <c r="AV58" s="236"/>
      <c r="AW58" s="236"/>
      <c r="AX58" s="236"/>
      <c r="AY58" s="236"/>
      <c r="AZ58" s="236"/>
      <c r="BA58" s="236"/>
      <c r="BB58" s="236"/>
      <c r="BC58" s="236"/>
      <c r="BD58" s="236"/>
      <c r="BE58" s="236"/>
      <c r="BF58" s="236"/>
      <c r="BG58" s="236"/>
      <c r="BH58" s="236"/>
      <c r="BI58" s="236"/>
      <c r="BJ58" s="236"/>
      <c r="BK58" s="236"/>
      <c r="BL58" s="236"/>
      <c r="BM58" s="236"/>
      <c r="BN58" s="73"/>
      <c r="BO58" s="73"/>
      <c r="BP58" s="345" t="s">
        <v>19</v>
      </c>
      <c r="BQ58" s="73"/>
      <c r="BR58" s="73"/>
      <c r="BS58" s="73"/>
      <c r="BT58" s="73"/>
      <c r="BU58" s="73"/>
      <c r="BV58" s="73"/>
      <c r="BW58" s="73"/>
      <c r="BX58" s="73"/>
      <c r="BY58" s="73"/>
      <c r="BZ58" s="247"/>
      <c r="CA58" s="345" t="s">
        <v>19</v>
      </c>
      <c r="CB58" s="247"/>
      <c r="CC58" s="346"/>
      <c r="CD58" s="346"/>
      <c r="CE58" s="346"/>
      <c r="CF58" s="346"/>
      <c r="CG58" s="346"/>
      <c r="CH58" s="346"/>
      <c r="CI58" s="346"/>
      <c r="CJ58" s="247"/>
      <c r="CK58" s="247"/>
    </row>
    <row r="59" spans="30:89" ht="16" x14ac:dyDescent="0.2">
      <c r="AD59" s="73"/>
      <c r="AE59" s="73"/>
      <c r="AF59" s="73"/>
      <c r="AG59" s="73"/>
      <c r="AH59" s="73"/>
      <c r="AI59" s="73"/>
      <c r="AJ59" s="73"/>
      <c r="AK59" s="73"/>
      <c r="AL59" s="247"/>
      <c r="AM59" s="247"/>
      <c r="AN59" s="247"/>
      <c r="AO59" s="247"/>
      <c r="AP59" s="347"/>
      <c r="AQ59" s="347"/>
      <c r="AR59" s="347"/>
      <c r="AS59" s="347"/>
      <c r="AT59" s="347"/>
      <c r="AU59" s="347"/>
      <c r="AV59" s="236"/>
      <c r="AW59" s="236"/>
      <c r="AX59" s="236"/>
      <c r="AY59" s="236"/>
      <c r="AZ59" s="236"/>
      <c r="BA59" s="236"/>
      <c r="BB59" s="236"/>
      <c r="BC59" s="236"/>
      <c r="BD59" s="236"/>
      <c r="BE59" s="236"/>
      <c r="BF59" s="236"/>
      <c r="BG59" s="236"/>
      <c r="BH59" s="236"/>
      <c r="BI59" s="236"/>
      <c r="BJ59" s="236"/>
      <c r="BK59" s="236"/>
      <c r="BL59" s="236"/>
      <c r="BM59" s="236"/>
      <c r="BN59" s="73"/>
      <c r="BO59" s="73"/>
      <c r="BP59" s="351" t="s">
        <v>20</v>
      </c>
      <c r="BQ59" s="73"/>
      <c r="BR59" s="73"/>
      <c r="BS59" s="73"/>
      <c r="BT59" s="73"/>
      <c r="BU59" s="73"/>
      <c r="BV59" s="73"/>
      <c r="BW59" s="73"/>
      <c r="BX59" s="73"/>
      <c r="BY59" s="73"/>
      <c r="BZ59" s="247"/>
      <c r="CA59" s="351" t="s">
        <v>20</v>
      </c>
      <c r="CB59" s="73"/>
      <c r="CC59" s="346"/>
      <c r="CD59" s="346"/>
      <c r="CE59" s="346"/>
      <c r="CF59" s="346"/>
      <c r="CG59" s="346"/>
      <c r="CH59" s="346"/>
      <c r="CI59" s="346"/>
      <c r="CJ59" s="247"/>
      <c r="CK59" s="247"/>
    </row>
    <row r="60" spans="30:89" ht="16" x14ac:dyDescent="0.2">
      <c r="AD60" s="73"/>
      <c r="AE60" s="73"/>
      <c r="AF60" s="73"/>
      <c r="AG60" s="73"/>
      <c r="AH60" s="73"/>
      <c r="AI60" s="73"/>
      <c r="AJ60" s="73"/>
      <c r="AK60" s="73"/>
      <c r="AL60" s="247"/>
      <c r="AM60" s="247"/>
      <c r="AN60" s="247"/>
      <c r="AO60" s="247"/>
      <c r="AP60" s="347"/>
      <c r="AQ60" s="347"/>
      <c r="AR60" s="347"/>
      <c r="AS60" s="347"/>
      <c r="AT60" s="347"/>
      <c r="AU60" s="347"/>
      <c r="AV60" s="236"/>
      <c r="AW60" s="236"/>
      <c r="AX60" s="236"/>
      <c r="AY60" s="236"/>
      <c r="AZ60" s="236"/>
      <c r="BA60" s="236"/>
      <c r="BB60" s="236"/>
      <c r="BC60" s="236"/>
      <c r="BD60" s="236"/>
      <c r="BE60" s="236"/>
      <c r="BF60" s="236"/>
      <c r="BG60" s="236"/>
      <c r="BH60" s="236"/>
      <c r="BI60" s="236"/>
      <c r="BJ60" s="236"/>
      <c r="BK60" s="236"/>
      <c r="BL60" s="236"/>
      <c r="BM60" s="236"/>
      <c r="BN60" s="73"/>
      <c r="BO60" s="73"/>
      <c r="BP60" s="351" t="s">
        <v>21</v>
      </c>
      <c r="BQ60" s="73"/>
      <c r="BR60" s="73"/>
      <c r="BS60" s="73"/>
      <c r="BT60" s="73"/>
      <c r="BU60" s="73"/>
      <c r="BV60" s="73"/>
      <c r="BW60" s="73"/>
      <c r="BX60" s="73"/>
      <c r="BY60" s="73"/>
      <c r="BZ60" s="247"/>
      <c r="CA60" s="351" t="s">
        <v>21</v>
      </c>
      <c r="CB60" s="73"/>
      <c r="CC60" s="346"/>
      <c r="CD60" s="346"/>
      <c r="CE60" s="346"/>
      <c r="CF60" s="346"/>
      <c r="CG60" s="346"/>
      <c r="CH60" s="346"/>
      <c r="CI60" s="346"/>
      <c r="CJ60" s="247"/>
      <c r="CK60" s="247"/>
    </row>
    <row r="61" spans="30:89" x14ac:dyDescent="0.2">
      <c r="AD61" s="73"/>
      <c r="AE61" s="73"/>
      <c r="AF61" s="73"/>
      <c r="AG61" s="73"/>
      <c r="AH61" s="73"/>
      <c r="AI61" s="73"/>
      <c r="AJ61" s="73"/>
      <c r="AK61" s="73"/>
      <c r="AL61" s="247"/>
      <c r="AM61" s="247"/>
      <c r="AN61" s="247"/>
      <c r="AO61" s="247"/>
      <c r="AP61" s="347"/>
      <c r="AQ61" s="347"/>
      <c r="AR61" s="347"/>
      <c r="AS61" s="347"/>
      <c r="AT61" s="347"/>
      <c r="AU61" s="347"/>
      <c r="AV61" s="236"/>
      <c r="AW61" s="236"/>
      <c r="AX61" s="236"/>
      <c r="AY61" s="236"/>
      <c r="AZ61" s="236"/>
      <c r="BA61" s="236"/>
      <c r="BB61" s="236"/>
      <c r="BC61" s="236"/>
      <c r="BD61" s="236"/>
      <c r="BE61" s="236"/>
      <c r="BF61" s="236"/>
      <c r="BG61" s="236"/>
      <c r="BH61" s="236"/>
      <c r="BI61" s="236"/>
      <c r="BJ61" s="236"/>
      <c r="BK61" s="236"/>
      <c r="BL61" s="236"/>
      <c r="BM61" s="236"/>
      <c r="BN61" s="73"/>
      <c r="BO61" s="73"/>
      <c r="BP61" s="187"/>
      <c r="BQ61" s="73"/>
      <c r="BR61" s="73"/>
      <c r="BS61" s="73"/>
      <c r="BT61" s="73"/>
      <c r="BU61" s="73"/>
      <c r="BV61" s="73"/>
      <c r="BW61" s="73"/>
      <c r="BX61" s="73"/>
      <c r="BY61" s="73"/>
      <c r="BZ61" s="247"/>
      <c r="CA61" s="73"/>
      <c r="CB61" s="247"/>
      <c r="CC61" s="346"/>
      <c r="CD61" s="346"/>
      <c r="CE61" s="346"/>
      <c r="CF61" s="346"/>
      <c r="CG61" s="346"/>
      <c r="CH61" s="346"/>
      <c r="CI61" s="346"/>
      <c r="CJ61" s="247"/>
      <c r="CK61" s="247"/>
    </row>
    <row r="62" spans="30:89" x14ac:dyDescent="0.2">
      <c r="AD62" s="73"/>
      <c r="AE62" s="73"/>
      <c r="AF62" s="73"/>
      <c r="AG62" s="73"/>
      <c r="AH62" s="73"/>
      <c r="AI62" s="73"/>
      <c r="AJ62" s="73"/>
      <c r="AK62" s="73"/>
      <c r="AL62" s="247"/>
      <c r="AM62" s="247"/>
      <c r="AN62" s="247"/>
      <c r="AO62" s="247"/>
      <c r="AP62" s="347"/>
      <c r="AQ62" s="347"/>
      <c r="AR62" s="347"/>
      <c r="AS62" s="347"/>
      <c r="AT62" s="347"/>
      <c r="AU62" s="347"/>
      <c r="AV62" s="236"/>
      <c r="AW62" s="236"/>
      <c r="AX62" s="236"/>
      <c r="AY62" s="236"/>
      <c r="AZ62" s="236"/>
      <c r="BA62" s="236"/>
      <c r="BB62" s="236"/>
      <c r="BC62" s="236"/>
      <c r="BD62" s="236"/>
      <c r="BE62" s="236"/>
      <c r="BF62" s="236"/>
      <c r="BG62" s="236"/>
      <c r="BH62" s="236"/>
      <c r="BI62" s="236"/>
      <c r="BJ62" s="236"/>
      <c r="BK62" s="236"/>
      <c r="BL62" s="236"/>
      <c r="BM62" s="236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247"/>
      <c r="CA62" s="247"/>
      <c r="CB62" s="247"/>
      <c r="CC62" s="346"/>
      <c r="CD62" s="346"/>
      <c r="CE62" s="346"/>
      <c r="CF62" s="346"/>
      <c r="CG62" s="346"/>
      <c r="CH62" s="346"/>
      <c r="CI62" s="346"/>
      <c r="CJ62" s="247"/>
      <c r="CK62" s="247"/>
    </row>
    <row r="63" spans="30:89" x14ac:dyDescent="0.2">
      <c r="AD63" s="73"/>
      <c r="AE63" s="73"/>
      <c r="AF63" s="73"/>
      <c r="AG63" s="73"/>
      <c r="AH63" s="73"/>
      <c r="AI63" s="73"/>
      <c r="AJ63" s="73"/>
      <c r="AK63" s="73"/>
      <c r="AL63" s="247"/>
      <c r="AM63" s="247"/>
      <c r="AN63" s="247"/>
      <c r="AO63" s="247"/>
      <c r="AP63" s="347"/>
      <c r="AQ63" s="347"/>
      <c r="AR63" s="347"/>
      <c r="AS63" s="347"/>
      <c r="AT63" s="347"/>
      <c r="AU63" s="347"/>
      <c r="AV63" s="236"/>
      <c r="AW63" s="236"/>
      <c r="AX63" s="236"/>
      <c r="AY63" s="236"/>
      <c r="AZ63" s="236"/>
      <c r="BA63" s="236"/>
      <c r="BB63" s="236"/>
      <c r="BC63" s="236"/>
      <c r="BD63" s="236"/>
      <c r="BE63" s="236"/>
      <c r="BF63" s="236"/>
      <c r="BG63" s="236"/>
      <c r="BH63" s="236"/>
      <c r="BI63" s="236"/>
      <c r="BJ63" s="236"/>
      <c r="BK63" s="236"/>
      <c r="BL63" s="236"/>
      <c r="BM63" s="236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247"/>
      <c r="CA63" s="247"/>
      <c r="CB63" s="247"/>
      <c r="CC63" s="346"/>
      <c r="CD63" s="346"/>
      <c r="CE63" s="346"/>
      <c r="CF63" s="346"/>
      <c r="CG63" s="346"/>
      <c r="CH63" s="346"/>
      <c r="CI63" s="346"/>
      <c r="CJ63" s="247"/>
      <c r="CK63" s="247"/>
    </row>
    <row r="64" spans="30:89" x14ac:dyDescent="0.2">
      <c r="AD64" s="73"/>
      <c r="AE64" s="73"/>
      <c r="AF64" s="73"/>
      <c r="AG64" s="73"/>
      <c r="AH64" s="73"/>
      <c r="AI64" s="73"/>
      <c r="AJ64" s="73"/>
      <c r="AK64" s="73"/>
      <c r="AL64" s="247"/>
      <c r="AM64" s="247"/>
      <c r="AN64" s="247"/>
      <c r="AO64" s="247"/>
      <c r="AP64" s="347"/>
      <c r="AQ64" s="347"/>
      <c r="AR64" s="347"/>
      <c r="AS64" s="347"/>
      <c r="AT64" s="347"/>
      <c r="AU64" s="347"/>
      <c r="AV64" s="236"/>
      <c r="AW64" s="236"/>
      <c r="AX64" s="236"/>
      <c r="AY64" s="236"/>
      <c r="AZ64" s="236"/>
      <c r="BA64" s="236"/>
      <c r="BB64" s="236"/>
      <c r="BC64" s="236"/>
      <c r="BD64" s="236"/>
      <c r="BE64" s="236"/>
      <c r="BF64" s="236"/>
      <c r="BG64" s="236"/>
      <c r="BH64" s="236"/>
      <c r="BI64" s="236"/>
      <c r="BJ64" s="236"/>
      <c r="BK64" s="236"/>
      <c r="BL64" s="236"/>
      <c r="BM64" s="236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247"/>
      <c r="CA64" s="247"/>
      <c r="CB64" s="247"/>
      <c r="CC64" s="346"/>
      <c r="CD64" s="346"/>
      <c r="CE64" s="346"/>
      <c r="CF64" s="346"/>
      <c r="CG64" s="346"/>
      <c r="CH64" s="346"/>
      <c r="CI64" s="346"/>
      <c r="CJ64" s="247"/>
      <c r="CK64" s="247"/>
    </row>
    <row r="65" spans="30:37" x14ac:dyDescent="0.2">
      <c r="AD65" s="73"/>
      <c r="AE65" s="73"/>
      <c r="AF65" s="73"/>
      <c r="AG65" s="73"/>
      <c r="AH65" s="73"/>
      <c r="AI65" s="73"/>
      <c r="AJ65" s="73"/>
      <c r="AK65" s="73"/>
    </row>
    <row r="140" ht="15.75" customHeight="1" x14ac:dyDescent="0.2"/>
    <row r="141" ht="15.75" customHeight="1" x14ac:dyDescent="0.2"/>
    <row r="173" ht="15.75" customHeight="1" x14ac:dyDescent="0.2"/>
    <row r="174" ht="15.75" customHeight="1" x14ac:dyDescent="0.2"/>
    <row r="181" ht="15.75" customHeight="1" x14ac:dyDescent="0.2"/>
    <row r="182" ht="15.75" customHeight="1" x14ac:dyDescent="0.2"/>
  </sheetData>
  <sheetProtection selectLockedCells="1"/>
  <mergeCells count="28">
    <mergeCell ref="B6:B7"/>
    <mergeCell ref="C6:C7"/>
    <mergeCell ref="D6:G6"/>
    <mergeCell ref="H6:K6"/>
    <mergeCell ref="L6:O6"/>
    <mergeCell ref="P6:S6"/>
    <mergeCell ref="T6:W6"/>
    <mergeCell ref="X6:Z6"/>
    <mergeCell ref="AA6:AA7"/>
    <mergeCell ref="AN6:AN7"/>
    <mergeCell ref="AO6:AO7"/>
    <mergeCell ref="AP6:AS6"/>
    <mergeCell ref="AT6:AW6"/>
    <mergeCell ref="AX6:BA6"/>
    <mergeCell ref="BB6:BE6"/>
    <mergeCell ref="BF6:BI6"/>
    <mergeCell ref="BJ6:BL6"/>
    <mergeCell ref="BM6:BM7"/>
    <mergeCell ref="BP44:BP46"/>
    <mergeCell ref="CA44:CA46"/>
    <mergeCell ref="CG6:CH6"/>
    <mergeCell ref="CI6:CI7"/>
    <mergeCell ref="BR6:BS6"/>
    <mergeCell ref="BT6:BU6"/>
    <mergeCell ref="BV6:BW6"/>
    <mergeCell ref="BX6:BX7"/>
    <mergeCell ref="CC6:CD6"/>
    <mergeCell ref="CE6:CF6"/>
  </mergeCells>
  <printOptions horizontalCentered="1"/>
  <pageMargins left="0.61" right="0.63" top="0.56000000000000005" bottom="0.79" header="0.3" footer="0.3"/>
  <pageSetup scale="61" orientation="landscape" blackAndWhite="1"/>
  <headerFooter>
    <oddFooter>&amp;RSTAFF  DATA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3EADB-3F12-1147-A51B-35EBBF0CBEAD}">
  <dimension ref="B1:N55"/>
  <sheetViews>
    <sheetView workbookViewId="0">
      <selection activeCell="E1" sqref="E1"/>
    </sheetView>
  </sheetViews>
  <sheetFormatPr baseColWidth="10" defaultColWidth="9.1640625" defaultRowHeight="13" x14ac:dyDescent="0.15"/>
  <cols>
    <col min="1" max="1" width="6.83203125" style="3" customWidth="1"/>
    <col min="2" max="2" width="33.33203125" style="3" customWidth="1"/>
    <col min="3" max="7" width="9.1640625" style="3"/>
    <col min="8" max="8" width="10.5" style="3" customWidth="1"/>
    <col min="9" max="9" width="10.6640625" style="3" customWidth="1"/>
    <col min="10" max="10" width="10.5" style="3" customWidth="1"/>
    <col min="11" max="16384" width="9.1640625" style="3"/>
  </cols>
  <sheetData>
    <row r="1" spans="2:12" s="364" customFormat="1" x14ac:dyDescent="0.15"/>
    <row r="3" spans="2:12" x14ac:dyDescent="0.15">
      <c r="B3" s="72" t="s">
        <v>98</v>
      </c>
    </row>
    <row r="4" spans="2:12" x14ac:dyDescent="0.15">
      <c r="B4" s="365" t="s">
        <v>96</v>
      </c>
      <c r="C4" s="26"/>
      <c r="D4" s="26"/>
      <c r="E4" s="26"/>
      <c r="F4" s="26"/>
      <c r="G4" s="26"/>
      <c r="H4" s="26"/>
      <c r="I4" s="26"/>
      <c r="J4" s="26"/>
      <c r="K4" s="26"/>
    </row>
    <row r="5" spans="2:12" x14ac:dyDescent="0.15">
      <c r="B5" s="352" t="s">
        <v>97</v>
      </c>
      <c r="C5" s="26"/>
      <c r="D5" s="26"/>
      <c r="E5" s="26"/>
      <c r="F5" s="26"/>
      <c r="G5" s="26"/>
      <c r="H5" s="26"/>
      <c r="I5" s="26"/>
      <c r="J5" s="26"/>
      <c r="K5" s="26"/>
    </row>
    <row r="6" spans="2:12" x14ac:dyDescent="0.15">
      <c r="B6" s="72" t="s">
        <v>11</v>
      </c>
      <c r="C6" s="26"/>
      <c r="D6" s="26"/>
      <c r="E6" s="26"/>
      <c r="F6" s="26"/>
      <c r="G6" s="26"/>
      <c r="H6" s="26"/>
      <c r="I6" s="26"/>
      <c r="J6" s="26"/>
      <c r="K6" s="26"/>
    </row>
    <row r="7" spans="2:12" ht="14" thickBot="1" x14ac:dyDescent="0.2"/>
    <row r="8" spans="2:12" ht="14" thickBot="1" x14ac:dyDescent="0.2">
      <c r="B8" s="382" t="s">
        <v>24</v>
      </c>
      <c r="C8" s="382" t="s">
        <v>1</v>
      </c>
      <c r="D8" s="426" t="s">
        <v>48</v>
      </c>
      <c r="E8" s="426"/>
      <c r="F8" s="427"/>
      <c r="G8" s="430" t="s">
        <v>122</v>
      </c>
      <c r="H8" s="431"/>
      <c r="I8" s="431"/>
      <c r="J8" s="431"/>
      <c r="K8" s="432"/>
      <c r="L8" s="27" t="s">
        <v>6</v>
      </c>
    </row>
    <row r="9" spans="2:12" ht="14" thickBot="1" x14ac:dyDescent="0.2">
      <c r="B9" s="389"/>
      <c r="C9" s="389"/>
      <c r="D9" s="428"/>
      <c r="E9" s="428"/>
      <c r="F9" s="429"/>
      <c r="G9" s="433" t="s">
        <v>43</v>
      </c>
      <c r="H9" s="435" t="s">
        <v>44</v>
      </c>
      <c r="I9" s="435" t="s">
        <v>45</v>
      </c>
      <c r="J9" s="435" t="s">
        <v>46</v>
      </c>
      <c r="K9" s="437" t="s">
        <v>8</v>
      </c>
      <c r="L9" s="28" t="s">
        <v>2</v>
      </c>
    </row>
    <row r="10" spans="2:12" ht="14" thickBot="1" x14ac:dyDescent="0.2">
      <c r="B10" s="383"/>
      <c r="C10" s="383"/>
      <c r="D10" s="151" t="s">
        <v>41</v>
      </c>
      <c r="E10" s="162" t="s">
        <v>42</v>
      </c>
      <c r="F10" s="152" t="s">
        <v>8</v>
      </c>
      <c r="G10" s="434"/>
      <c r="H10" s="436"/>
      <c r="I10" s="436"/>
      <c r="J10" s="436"/>
      <c r="K10" s="438"/>
      <c r="L10" s="29"/>
    </row>
    <row r="11" spans="2:12" ht="14" thickBot="1" x14ac:dyDescent="0.2">
      <c r="B11" s="423"/>
      <c r="C11" s="30" t="s">
        <v>3</v>
      </c>
      <c r="D11" s="30"/>
      <c r="E11" s="30"/>
      <c r="F11" s="30"/>
      <c r="G11" s="30"/>
      <c r="H11" s="81"/>
      <c r="I11" s="82"/>
      <c r="J11" s="81"/>
      <c r="K11" s="82"/>
      <c r="L11" s="43">
        <f>SUM(D11:K11)</f>
        <v>0</v>
      </c>
    </row>
    <row r="12" spans="2:12" ht="14" thickBot="1" x14ac:dyDescent="0.2">
      <c r="B12" s="424"/>
      <c r="C12" s="33" t="s">
        <v>4</v>
      </c>
      <c r="D12" s="150"/>
      <c r="E12" s="150"/>
      <c r="F12" s="150"/>
      <c r="G12" s="150"/>
      <c r="H12" s="83"/>
      <c r="I12" s="83"/>
      <c r="J12" s="83"/>
      <c r="K12" s="83"/>
      <c r="L12" s="43">
        <f>SUM(D12:K12)</f>
        <v>0</v>
      </c>
    </row>
    <row r="13" spans="2:12" ht="14" thickBot="1" x14ac:dyDescent="0.2">
      <c r="B13" s="425"/>
      <c r="C13" s="36" t="s">
        <v>5</v>
      </c>
      <c r="D13" s="157">
        <f t="shared" ref="D13:K13" si="0">D11+D12</f>
        <v>0</v>
      </c>
      <c r="E13" s="157">
        <f t="shared" si="0"/>
        <v>0</v>
      </c>
      <c r="F13" s="157">
        <f t="shared" si="0"/>
        <v>0</v>
      </c>
      <c r="G13" s="157">
        <f t="shared" si="0"/>
        <v>0</v>
      </c>
      <c r="H13" s="157">
        <f t="shared" si="0"/>
        <v>0</v>
      </c>
      <c r="I13" s="157">
        <f t="shared" si="0"/>
        <v>0</v>
      </c>
      <c r="J13" s="158">
        <f t="shared" si="0"/>
        <v>0</v>
      </c>
      <c r="K13" s="157">
        <f t="shared" si="0"/>
        <v>0</v>
      </c>
      <c r="L13" s="154">
        <f>SUM(D13:K13)</f>
        <v>0</v>
      </c>
    </row>
    <row r="14" spans="2:12" x14ac:dyDescent="0.15">
      <c r="B14" s="120"/>
      <c r="C14" s="30" t="s">
        <v>3</v>
      </c>
      <c r="D14" s="155"/>
      <c r="E14" s="155"/>
      <c r="F14" s="155"/>
      <c r="G14" s="155"/>
      <c r="H14" s="159"/>
      <c r="I14" s="159"/>
      <c r="J14" s="160"/>
      <c r="K14" s="159"/>
      <c r="L14" s="156">
        <f>SUM(D14:K14)</f>
        <v>0</v>
      </c>
    </row>
    <row r="15" spans="2:12" x14ac:dyDescent="0.15">
      <c r="B15" s="121"/>
      <c r="C15" s="33" t="s">
        <v>4</v>
      </c>
      <c r="D15" s="84"/>
      <c r="E15" s="84"/>
      <c r="F15" s="84"/>
      <c r="G15" s="84"/>
      <c r="H15" s="161"/>
      <c r="I15" s="161"/>
      <c r="J15" s="47"/>
      <c r="K15" s="161"/>
      <c r="L15" s="153">
        <f>SUM(D15:K15)</f>
        <v>0</v>
      </c>
    </row>
    <row r="16" spans="2:12" ht="14" thickBot="1" x14ac:dyDescent="0.2">
      <c r="B16" s="122"/>
      <c r="C16" s="36" t="s">
        <v>5</v>
      </c>
      <c r="D16" s="157">
        <f t="shared" ref="D16:K16" si="1">D14+D15</f>
        <v>0</v>
      </c>
      <c r="E16" s="157">
        <f>E14+E15</f>
        <v>0</v>
      </c>
      <c r="F16" s="157">
        <f t="shared" si="1"/>
        <v>0</v>
      </c>
      <c r="G16" s="157">
        <f t="shared" si="1"/>
        <v>0</v>
      </c>
      <c r="H16" s="157">
        <f t="shared" si="1"/>
        <v>0</v>
      </c>
      <c r="I16" s="157">
        <f t="shared" si="1"/>
        <v>0</v>
      </c>
      <c r="J16" s="157">
        <f t="shared" si="1"/>
        <v>0</v>
      </c>
      <c r="K16" s="157">
        <f t="shared" si="1"/>
        <v>0</v>
      </c>
      <c r="L16" s="45">
        <f t="shared" ref="L16:L28" si="2">SUM(D16:K16)</f>
        <v>0</v>
      </c>
    </row>
    <row r="17" spans="2:14" x14ac:dyDescent="0.15">
      <c r="B17" s="121"/>
      <c r="C17" s="30" t="s">
        <v>3</v>
      </c>
      <c r="D17" s="84"/>
      <c r="E17" s="84"/>
      <c r="F17" s="84"/>
      <c r="G17" s="84"/>
      <c r="H17" s="161"/>
      <c r="I17" s="161"/>
      <c r="J17" s="47"/>
      <c r="K17" s="161"/>
      <c r="L17" s="153">
        <f t="shared" si="2"/>
        <v>0</v>
      </c>
    </row>
    <row r="18" spans="2:14" x14ac:dyDescent="0.15">
      <c r="B18" s="121"/>
      <c r="C18" s="33" t="s">
        <v>4</v>
      </c>
      <c r="D18" s="84"/>
      <c r="E18" s="84"/>
      <c r="F18" s="84"/>
      <c r="G18" s="84"/>
      <c r="H18" s="161"/>
      <c r="I18" s="161"/>
      <c r="J18" s="47"/>
      <c r="K18" s="161"/>
      <c r="L18" s="153">
        <f t="shared" si="2"/>
        <v>0</v>
      </c>
    </row>
    <row r="19" spans="2:14" ht="14" thickBot="1" x14ac:dyDescent="0.2">
      <c r="B19" s="121"/>
      <c r="C19" s="36" t="s">
        <v>5</v>
      </c>
      <c r="D19" s="157">
        <f t="shared" ref="D19:K19" si="3">D17+D18</f>
        <v>0</v>
      </c>
      <c r="E19" s="157">
        <f>E17+E18</f>
        <v>0</v>
      </c>
      <c r="F19" s="157">
        <f t="shared" si="3"/>
        <v>0</v>
      </c>
      <c r="G19" s="157">
        <f t="shared" si="3"/>
        <v>0</v>
      </c>
      <c r="H19" s="157">
        <f t="shared" si="3"/>
        <v>0</v>
      </c>
      <c r="I19" s="157">
        <f t="shared" si="3"/>
        <v>0</v>
      </c>
      <c r="J19" s="157">
        <f t="shared" si="3"/>
        <v>0</v>
      </c>
      <c r="K19" s="157">
        <f t="shared" si="3"/>
        <v>0</v>
      </c>
      <c r="L19" s="45">
        <f t="shared" si="2"/>
        <v>0</v>
      </c>
    </row>
    <row r="20" spans="2:14" x14ac:dyDescent="0.15">
      <c r="B20" s="120"/>
      <c r="C20" s="30" t="s">
        <v>3</v>
      </c>
      <c r="D20" s="155"/>
      <c r="E20" s="155"/>
      <c r="F20" s="155"/>
      <c r="G20" s="155"/>
      <c r="H20" s="159"/>
      <c r="I20" s="159"/>
      <c r="J20" s="160"/>
      <c r="K20" s="159"/>
      <c r="L20" s="156">
        <f t="shared" si="2"/>
        <v>0</v>
      </c>
    </row>
    <row r="21" spans="2:14" x14ac:dyDescent="0.15">
      <c r="B21" s="121"/>
      <c r="C21" s="33" t="s">
        <v>4</v>
      </c>
      <c r="D21" s="84"/>
      <c r="E21" s="84"/>
      <c r="F21" s="84"/>
      <c r="G21" s="84"/>
      <c r="H21" s="161"/>
      <c r="I21" s="161"/>
      <c r="J21" s="47"/>
      <c r="K21" s="161"/>
      <c r="L21" s="153">
        <f t="shared" si="2"/>
        <v>0</v>
      </c>
    </row>
    <row r="22" spans="2:14" ht="14" thickBot="1" x14ac:dyDescent="0.2">
      <c r="B22" s="122"/>
      <c r="C22" s="36" t="s">
        <v>5</v>
      </c>
      <c r="D22" s="157">
        <f t="shared" ref="D22:K22" si="4">D20+D21</f>
        <v>0</v>
      </c>
      <c r="E22" s="157">
        <f>E20+E21</f>
        <v>0</v>
      </c>
      <c r="F22" s="157">
        <f t="shared" si="4"/>
        <v>0</v>
      </c>
      <c r="G22" s="157">
        <f t="shared" si="4"/>
        <v>0</v>
      </c>
      <c r="H22" s="157">
        <f t="shared" si="4"/>
        <v>0</v>
      </c>
      <c r="I22" s="157">
        <f t="shared" si="4"/>
        <v>0</v>
      </c>
      <c r="J22" s="157">
        <f t="shared" si="4"/>
        <v>0</v>
      </c>
      <c r="K22" s="157">
        <f t="shared" si="4"/>
        <v>0</v>
      </c>
      <c r="L22" s="45">
        <f t="shared" si="2"/>
        <v>0</v>
      </c>
    </row>
    <row r="23" spans="2:14" x14ac:dyDescent="0.15">
      <c r="B23" s="121"/>
      <c r="C23" s="30" t="s">
        <v>3</v>
      </c>
      <c r="D23" s="84"/>
      <c r="E23" s="84"/>
      <c r="F23" s="84"/>
      <c r="G23" s="84"/>
      <c r="H23" s="161"/>
      <c r="I23" s="161"/>
      <c r="J23" s="47"/>
      <c r="K23" s="161"/>
      <c r="L23" s="153">
        <f t="shared" si="2"/>
        <v>0</v>
      </c>
    </row>
    <row r="24" spans="2:14" x14ac:dyDescent="0.15">
      <c r="B24" s="121"/>
      <c r="C24" s="33" t="s">
        <v>4</v>
      </c>
      <c r="D24" s="84"/>
      <c r="E24" s="84"/>
      <c r="F24" s="84"/>
      <c r="G24" s="84"/>
      <c r="H24" s="161"/>
      <c r="I24" s="161"/>
      <c r="J24" s="47"/>
      <c r="K24" s="161"/>
      <c r="L24" s="44">
        <f t="shared" si="2"/>
        <v>0</v>
      </c>
    </row>
    <row r="25" spans="2:14" ht="14" thickBot="1" x14ac:dyDescent="0.2">
      <c r="B25" s="121"/>
      <c r="C25" s="36" t="s">
        <v>5</v>
      </c>
      <c r="D25" s="157">
        <f t="shared" ref="D25:K25" si="5">D23+D24</f>
        <v>0</v>
      </c>
      <c r="E25" s="157">
        <f>E23+E24</f>
        <v>0</v>
      </c>
      <c r="F25" s="157">
        <f t="shared" si="5"/>
        <v>0</v>
      </c>
      <c r="G25" s="157">
        <f t="shared" si="5"/>
        <v>0</v>
      </c>
      <c r="H25" s="157">
        <f t="shared" si="5"/>
        <v>0</v>
      </c>
      <c r="I25" s="157">
        <f t="shared" si="5"/>
        <v>0</v>
      </c>
      <c r="J25" s="157">
        <f t="shared" si="5"/>
        <v>0</v>
      </c>
      <c r="K25" s="157">
        <f t="shared" si="5"/>
        <v>0</v>
      </c>
      <c r="L25" s="45">
        <f t="shared" si="2"/>
        <v>0</v>
      </c>
    </row>
    <row r="26" spans="2:14" ht="14" thickBot="1" x14ac:dyDescent="0.2">
      <c r="B26" s="382" t="s">
        <v>2</v>
      </c>
      <c r="C26" s="30" t="s">
        <v>3</v>
      </c>
      <c r="D26" s="30">
        <f>D11+D14+D17+D20+D23</f>
        <v>0</v>
      </c>
      <c r="E26" s="30">
        <f>E11+E14+E17+E20+E23</f>
        <v>0</v>
      </c>
      <c r="F26" s="30">
        <f t="shared" ref="F26:K26" si="6">F11+F14+F17+F20+F23</f>
        <v>0</v>
      </c>
      <c r="G26" s="30">
        <f t="shared" si="6"/>
        <v>0</v>
      </c>
      <c r="H26" s="30">
        <f t="shared" si="6"/>
        <v>0</v>
      </c>
      <c r="I26" s="30">
        <f t="shared" si="6"/>
        <v>0</v>
      </c>
      <c r="J26" s="30">
        <f t="shared" si="6"/>
        <v>0</v>
      </c>
      <c r="K26" s="30">
        <f t="shared" si="6"/>
        <v>0</v>
      </c>
      <c r="L26" s="43">
        <f t="shared" si="2"/>
        <v>0</v>
      </c>
    </row>
    <row r="27" spans="2:14" ht="14" thickBot="1" x14ac:dyDescent="0.2">
      <c r="B27" s="389"/>
      <c r="C27" s="33" t="s">
        <v>4</v>
      </c>
      <c r="D27" s="30">
        <f t="shared" ref="D27:K27" si="7">D12+D15+D18+D21+D24</f>
        <v>0</v>
      </c>
      <c r="E27" s="30">
        <f>E12+E15+E18+E21+E24</f>
        <v>0</v>
      </c>
      <c r="F27" s="30">
        <f t="shared" si="7"/>
        <v>0</v>
      </c>
      <c r="G27" s="30">
        <f>G12+G15+G18+G21+G24</f>
        <v>0</v>
      </c>
      <c r="H27" s="30">
        <f t="shared" si="7"/>
        <v>0</v>
      </c>
      <c r="I27" s="30">
        <f t="shared" si="7"/>
        <v>0</v>
      </c>
      <c r="J27" s="30">
        <f t="shared" si="7"/>
        <v>0</v>
      </c>
      <c r="K27" s="30">
        <f t="shared" si="7"/>
        <v>0</v>
      </c>
      <c r="L27" s="43">
        <f t="shared" si="2"/>
        <v>0</v>
      </c>
    </row>
    <row r="28" spans="2:14" ht="14" thickBot="1" x14ac:dyDescent="0.2">
      <c r="B28" s="383"/>
      <c r="C28" s="36" t="s">
        <v>5</v>
      </c>
      <c r="D28" s="80">
        <f t="shared" ref="D28:K28" si="8">D13+D16+D19+D22+D25</f>
        <v>0</v>
      </c>
      <c r="E28" s="80">
        <f>E13+E16+E19+E22+E25</f>
        <v>0</v>
      </c>
      <c r="F28" s="80">
        <f t="shared" si="8"/>
        <v>0</v>
      </c>
      <c r="G28" s="80">
        <f t="shared" si="8"/>
        <v>0</v>
      </c>
      <c r="H28" s="80">
        <f t="shared" si="8"/>
        <v>0</v>
      </c>
      <c r="I28" s="80">
        <f t="shared" si="8"/>
        <v>0</v>
      </c>
      <c r="J28" s="80">
        <f t="shared" si="8"/>
        <v>0</v>
      </c>
      <c r="K28" s="80">
        <f t="shared" si="8"/>
        <v>0</v>
      </c>
      <c r="L28" s="154">
        <f t="shared" si="2"/>
        <v>0</v>
      </c>
      <c r="N28" s="46"/>
    </row>
    <row r="30" spans="2:14" x14ac:dyDescent="0.15">
      <c r="B30" s="38"/>
    </row>
    <row r="35" spans="2:11" x14ac:dyDescent="0.15"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 spans="2:11" x14ac:dyDescent="0.15"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8" spans="2:11" x14ac:dyDescent="0.15">
      <c r="B38" s="39"/>
      <c r="C38" s="17"/>
      <c r="D38" s="17"/>
      <c r="E38" s="17"/>
      <c r="F38" s="17"/>
      <c r="G38" s="17"/>
      <c r="H38" s="40"/>
      <c r="I38" s="39"/>
      <c r="J38" s="39"/>
      <c r="K38" s="39"/>
    </row>
    <row r="39" spans="2:11" x14ac:dyDescent="0.15">
      <c r="B39" s="39"/>
      <c r="C39" s="40"/>
      <c r="D39" s="40"/>
      <c r="E39" s="40"/>
      <c r="F39" s="40"/>
      <c r="G39" s="40"/>
      <c r="H39" s="40"/>
      <c r="I39" s="41"/>
      <c r="J39" s="41"/>
      <c r="K39" s="41"/>
    </row>
    <row r="40" spans="2:11" x14ac:dyDescent="0.15">
      <c r="B40" s="39"/>
      <c r="C40" s="17"/>
      <c r="D40" s="17"/>
      <c r="E40" s="17"/>
      <c r="F40" s="17"/>
      <c r="G40" s="17"/>
      <c r="H40" s="17"/>
      <c r="I40" s="39"/>
      <c r="J40" s="39"/>
      <c r="K40" s="39"/>
    </row>
    <row r="41" spans="2:11" x14ac:dyDescent="0.15">
      <c r="B41" s="39"/>
      <c r="C41" s="40"/>
      <c r="D41" s="40"/>
      <c r="E41" s="40"/>
      <c r="F41" s="40"/>
      <c r="G41" s="40"/>
      <c r="H41" s="17"/>
      <c r="I41" s="17"/>
      <c r="J41" s="17"/>
      <c r="K41" s="17"/>
    </row>
    <row r="42" spans="2:11" x14ac:dyDescent="0.15">
      <c r="B42" s="39"/>
      <c r="C42" s="40"/>
      <c r="D42" s="40"/>
      <c r="E42" s="40"/>
      <c r="F42" s="40"/>
      <c r="G42" s="40"/>
      <c r="H42" s="17"/>
      <c r="I42" s="17"/>
      <c r="J42" s="17"/>
      <c r="K42" s="17"/>
    </row>
    <row r="43" spans="2:11" ht="15" x14ac:dyDescent="0.2">
      <c r="B43" s="39"/>
      <c r="C43"/>
      <c r="D43"/>
      <c r="E43"/>
      <c r="F43"/>
      <c r="G43"/>
      <c r="H43"/>
      <c r="I43"/>
      <c r="J43"/>
      <c r="K43"/>
    </row>
    <row r="44" spans="2:11" ht="15" x14ac:dyDescent="0.2">
      <c r="B44" s="39"/>
      <c r="C44"/>
      <c r="D44"/>
      <c r="E44"/>
      <c r="F44"/>
      <c r="G44"/>
      <c r="H44"/>
      <c r="I44"/>
      <c r="J44"/>
      <c r="K44"/>
    </row>
    <row r="45" spans="2:11" ht="15" x14ac:dyDescent="0.2">
      <c r="B45" s="39"/>
      <c r="C45"/>
      <c r="D45"/>
      <c r="E45"/>
      <c r="F45"/>
      <c r="G45"/>
      <c r="H45"/>
      <c r="I45"/>
      <c r="J45"/>
      <c r="K45"/>
    </row>
    <row r="46" spans="2:11" ht="15" x14ac:dyDescent="0.2">
      <c r="B46" s="39"/>
      <c r="C46"/>
      <c r="D46"/>
      <c r="E46"/>
      <c r="F46"/>
      <c r="G46"/>
      <c r="H46"/>
      <c r="I46"/>
      <c r="J46"/>
      <c r="K46"/>
    </row>
    <row r="47" spans="2:11" ht="15" x14ac:dyDescent="0.2">
      <c r="B47" s="39"/>
      <c r="C47"/>
      <c r="D47"/>
      <c r="E47"/>
      <c r="F47"/>
      <c r="G47"/>
      <c r="H47"/>
      <c r="I47"/>
      <c r="J47"/>
      <c r="K47"/>
    </row>
    <row r="48" spans="2:11" ht="15" x14ac:dyDescent="0.2">
      <c r="B48" s="39"/>
      <c r="C48"/>
      <c r="D48"/>
      <c r="E48"/>
      <c r="F48"/>
      <c r="G48"/>
      <c r="H48"/>
      <c r="I48"/>
      <c r="J48"/>
      <c r="K48"/>
    </row>
    <row r="49" spans="2:11" ht="15" x14ac:dyDescent="0.2">
      <c r="B49" s="39"/>
      <c r="C49"/>
      <c r="D49"/>
      <c r="E49"/>
      <c r="F49"/>
      <c r="G49"/>
      <c r="H49"/>
      <c r="I49"/>
      <c r="J49"/>
      <c r="K49"/>
    </row>
    <row r="50" spans="2:11" ht="15" x14ac:dyDescent="0.2">
      <c r="B50" s="42"/>
      <c r="C50"/>
      <c r="D50"/>
      <c r="E50"/>
      <c r="F50"/>
      <c r="G50"/>
      <c r="H50"/>
      <c r="I50"/>
      <c r="J50"/>
      <c r="K50"/>
    </row>
    <row r="51" spans="2:11" ht="15" x14ac:dyDescent="0.2">
      <c r="B51" s="42"/>
      <c r="C51"/>
      <c r="D51"/>
      <c r="E51"/>
      <c r="F51"/>
      <c r="G51"/>
      <c r="H51"/>
      <c r="I51"/>
      <c r="J51"/>
      <c r="K51"/>
    </row>
    <row r="52" spans="2:11" ht="15" x14ac:dyDescent="0.2">
      <c r="B52" s="42"/>
      <c r="C52"/>
      <c r="D52"/>
      <c r="E52"/>
      <c r="F52"/>
      <c r="G52"/>
      <c r="H52"/>
      <c r="I52"/>
      <c r="J52"/>
      <c r="K52"/>
    </row>
    <row r="53" spans="2:11" ht="15" x14ac:dyDescent="0.2">
      <c r="C53"/>
      <c r="D53"/>
      <c r="E53"/>
      <c r="F53"/>
      <c r="G53"/>
      <c r="H53"/>
      <c r="I53"/>
      <c r="J53"/>
      <c r="K53"/>
    </row>
    <row r="54" spans="2:11" ht="15" x14ac:dyDescent="0.2">
      <c r="C54"/>
      <c r="D54"/>
      <c r="E54"/>
      <c r="F54"/>
      <c r="G54"/>
      <c r="H54"/>
      <c r="I54"/>
      <c r="J54"/>
      <c r="K54"/>
    </row>
    <row r="55" spans="2:11" ht="15" x14ac:dyDescent="0.2">
      <c r="C55"/>
      <c r="D55"/>
      <c r="E55"/>
      <c r="F55"/>
      <c r="G55"/>
      <c r="H55"/>
      <c r="I55"/>
      <c r="J55"/>
      <c r="K55"/>
    </row>
  </sheetData>
  <sheetProtection selectLockedCells="1"/>
  <mergeCells count="11">
    <mergeCell ref="C8:C10"/>
    <mergeCell ref="B8:B10"/>
    <mergeCell ref="B11:B13"/>
    <mergeCell ref="B26:B28"/>
    <mergeCell ref="D8:F9"/>
    <mergeCell ref="G8:K8"/>
    <mergeCell ref="G9:G10"/>
    <mergeCell ref="H9:H10"/>
    <mergeCell ref="I9:I10"/>
    <mergeCell ref="J9:J10"/>
    <mergeCell ref="K9:K10"/>
  </mergeCells>
  <printOptions horizontalCentered="1"/>
  <pageMargins left="0.7" right="0.7" top="0.75" bottom="0.75" header="0.3" footer="0.3"/>
  <pageSetup orientation="landscape" blackAndWhit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STUDENT DATA</vt:lpstr>
      <vt:lpstr>STAFF DATA</vt:lpstr>
      <vt:lpstr>GRADUATE OUTPUT</vt:lpstr>
      <vt:lpstr>'GRADUATE OUTPUT'!Print_Area</vt:lpstr>
      <vt:lpstr>'STAFF DATA'!Print_Area</vt:lpstr>
      <vt:lpstr>'STUDENT DATA'!Print_Area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Ebenezer Kwabena Blay Ackah</cp:lastModifiedBy>
  <cp:lastPrinted>2021-03-03T12:57:13Z</cp:lastPrinted>
  <dcterms:created xsi:type="dcterms:W3CDTF">2011-12-05T09:04:37Z</dcterms:created>
  <dcterms:modified xsi:type="dcterms:W3CDTF">2026-10-07T14:58:26Z</dcterms:modified>
</cp:coreProperties>
</file>